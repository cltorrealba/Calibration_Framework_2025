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Biorreactor 2020\"/>
    </mc:Choice>
  </mc:AlternateContent>
  <xr:revisionPtr revIDLastSave="0" documentId="13_ncr:1_{7C531BD0-3F8D-4C24-AA76-E1426CCB7B15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LAB-LO(02)" sheetId="2" r:id="rId1"/>
    <sheet name="LAB-LO(03)" sheetId="3" r:id="rId2"/>
    <sheet name="LAB-MA(04)" sheetId="4" r:id="rId3"/>
    <sheet name="LAB-MA(05)" sheetId="5" r:id="rId4"/>
    <sheet name="LAB-SR(06)" sheetId="6" r:id="rId5"/>
    <sheet name="LAB-VA(07)" sheetId="7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7" l="1"/>
  <c r="B5" i="7"/>
  <c r="D5" i="7" s="1"/>
  <c r="G25" i="6"/>
  <c r="G24" i="6"/>
  <c r="G23" i="6" s="1"/>
  <c r="Q14" i="6"/>
  <c r="C5" i="6"/>
  <c r="B5" i="6"/>
  <c r="D5" i="6" s="1"/>
  <c r="J4" i="6"/>
  <c r="J5" i="6" s="1"/>
  <c r="J6" i="6" s="1"/>
  <c r="J7" i="6" s="1"/>
  <c r="J8" i="6" s="1"/>
  <c r="J9" i="6" s="1"/>
  <c r="J10" i="6" s="1"/>
  <c r="J11" i="6" s="1"/>
  <c r="J12" i="6" s="1"/>
  <c r="J13" i="6" s="1"/>
  <c r="J3" i="6"/>
  <c r="G29" i="5"/>
  <c r="G28" i="5"/>
  <c r="G27" i="5" s="1"/>
  <c r="E12" i="5"/>
  <c r="C5" i="5"/>
  <c r="B5" i="5"/>
  <c r="D5" i="5" s="1"/>
  <c r="G26" i="4"/>
  <c r="G25" i="4"/>
  <c r="G24" i="4" s="1"/>
  <c r="Q15" i="4"/>
  <c r="C5" i="4"/>
  <c r="B5" i="4"/>
  <c r="D5" i="4" s="1"/>
  <c r="G23" i="3"/>
  <c r="G21" i="3" s="1"/>
  <c r="G22" i="3"/>
  <c r="D5" i="3"/>
  <c r="C5" i="3"/>
  <c r="B5" i="3"/>
  <c r="J3" i="3"/>
  <c r="G26" i="2"/>
  <c r="G25" i="2"/>
  <c r="G24" i="2" s="1"/>
  <c r="Q15" i="2"/>
  <c r="J13" i="2"/>
  <c r="J14" i="2" s="1"/>
  <c r="J12" i="2"/>
  <c r="C5" i="2"/>
  <c r="B5" i="2"/>
  <c r="D5" i="2" s="1"/>
  <c r="J4" i="2"/>
  <c r="J5" i="2" s="1"/>
  <c r="J6" i="2" s="1"/>
  <c r="J7" i="2" s="1"/>
  <c r="J3" i="2"/>
</calcChain>
</file>

<file path=xl/sharedStrings.xml><?xml version="1.0" encoding="utf-8"?>
<sst xmlns="http://schemas.openxmlformats.org/spreadsheetml/2006/main" count="841" uniqueCount="189">
  <si>
    <t>Datos uva</t>
  </si>
  <si>
    <t>Comentarios</t>
  </si>
  <si>
    <t>Código</t>
  </si>
  <si>
    <t>Fecha</t>
  </si>
  <si>
    <t>Tiempo (h)</t>
  </si>
  <si>
    <t>Time (min)</t>
  </si>
  <si>
    <t>Azucar Total (g/L)</t>
  </si>
  <si>
    <t>Glucosa (g/L)</t>
  </si>
  <si>
    <t>Fructosa (g/L)</t>
  </si>
  <si>
    <t>YAN (mg/L)</t>
  </si>
  <si>
    <t>Densidad (kg/m3)</t>
  </si>
  <si>
    <t>Brix</t>
  </si>
  <si>
    <t>Temperatura (°C)</t>
  </si>
  <si>
    <t>pH</t>
  </si>
  <si>
    <t>Antocianinas (mg/L)</t>
  </si>
  <si>
    <t>Color</t>
  </si>
  <si>
    <t>Polifenoles (mg/L)</t>
  </si>
  <si>
    <t>SO2 L (mg/L)</t>
  </si>
  <si>
    <t>SO2T (mg/L)</t>
  </si>
  <si>
    <t>Ac. Málico</t>
  </si>
  <si>
    <t>Uva (kg)</t>
  </si>
  <si>
    <t>Mosto (mL)</t>
  </si>
  <si>
    <t>Mosto (kg)</t>
  </si>
  <si>
    <t>Solidos (kg)</t>
  </si>
  <si>
    <t>Relación L/S</t>
  </si>
  <si>
    <t>Vino (mL)</t>
  </si>
  <si>
    <t>Mosto Fermentado</t>
  </si>
  <si>
    <t>Mosto Pre-Fermentativo</t>
  </si>
  <si>
    <t>SO2 Libre</t>
  </si>
  <si>
    <t>-</t>
  </si>
  <si>
    <t>SO2 Total</t>
  </si>
  <si>
    <t>YAN</t>
  </si>
  <si>
    <t>Correción mosto</t>
  </si>
  <si>
    <t>pH deseado</t>
  </si>
  <si>
    <t>Ac. Tartarico añadido 1 (g/L)</t>
  </si>
  <si>
    <t>Ac. Tartarico añadido 2 (g/L)</t>
  </si>
  <si>
    <t>YAN deseado (mg/L)</t>
  </si>
  <si>
    <t>Fosfato de amonio añadido 1 (g)</t>
  </si>
  <si>
    <t>Fosfato de amonio añadido 2 (g)</t>
  </si>
  <si>
    <t>Sulfuroso (g/hL)</t>
  </si>
  <si>
    <t>Levadura (g/hL)</t>
  </si>
  <si>
    <t>Remontajes</t>
  </si>
  <si>
    <t>Densidad</t>
  </si>
  <si>
    <t>Flujo (L/min)</t>
  </si>
  <si>
    <t>Duración (min)</t>
  </si>
  <si>
    <t>veces/día</t>
  </si>
  <si>
    <t>hasta 1060</t>
  </si>
  <si>
    <t>hasta 1020</t>
  </si>
  <si>
    <t>hasta 994</t>
  </si>
  <si>
    <t>Ac. Acético</t>
  </si>
  <si>
    <t>LAB-MA(04)-0</t>
  </si>
  <si>
    <t>LAB-MA(04)-1</t>
  </si>
  <si>
    <t>LAB-MA(04)-2</t>
  </si>
  <si>
    <t>LAB-MA(04)-3</t>
  </si>
  <si>
    <t>Ac. Total</t>
  </si>
  <si>
    <t>Inicio FA</t>
  </si>
  <si>
    <t>LAB-LO(02)-0</t>
  </si>
  <si>
    <t>LAB-MA(04)-4</t>
  </si>
  <si>
    <t>LAB-LO(02)-1</t>
  </si>
  <si>
    <t>LAB-MA(04)-4-FDA</t>
  </si>
  <si>
    <t>LAB-MA(04)-5</t>
  </si>
  <si>
    <t>LAB-MA(04)-6</t>
  </si>
  <si>
    <t>LAB-LO(02)-2</t>
  </si>
  <si>
    <t>1104.8</t>
  </si>
  <si>
    <t>1098.5</t>
  </si>
  <si>
    <t>1097.2</t>
  </si>
  <si>
    <t>LAB-MA(04)-7</t>
  </si>
  <si>
    <t>LAB-LO(02)-3</t>
  </si>
  <si>
    <t>Adición de H2O (mL)</t>
  </si>
  <si>
    <t>LAB-LO(02)-4</t>
  </si>
  <si>
    <t>LAB-MA(04)-8</t>
  </si>
  <si>
    <t>LAB-LO(02)-5</t>
  </si>
  <si>
    <t>LAB-MA(04)-9</t>
  </si>
  <si>
    <t>Post adicion FDA</t>
  </si>
  <si>
    <t>LAB-LO(02)-5 FDA</t>
  </si>
  <si>
    <t>3.62</t>
  </si>
  <si>
    <t>LAB-MA(04)-10</t>
  </si>
  <si>
    <t>Acidez Total (g/L)</t>
  </si>
  <si>
    <t>Inicio FML</t>
  </si>
  <si>
    <t>LAB-MA(04)-11</t>
  </si>
  <si>
    <t>LAB-MA(04)-FML-1</t>
  </si>
  <si>
    <t>LAB-MA(04)-FML-2</t>
  </si>
  <si>
    <t>LAB-LO(02)-6</t>
  </si>
  <si>
    <t>Fin FML</t>
  </si>
  <si>
    <t>LAB-MA(04)-FML-3</t>
  </si>
  <si>
    <t>3.45</t>
  </si>
  <si>
    <t>LAB-LO(02)-7</t>
  </si>
  <si>
    <t>Ac. Tartarico añadido (g/L)</t>
  </si>
  <si>
    <t>8.81</t>
  </si>
  <si>
    <t>3.53</t>
  </si>
  <si>
    <t>Acidez Total 1 (g/L)</t>
  </si>
  <si>
    <t>LAB-LO(02)-8</t>
  </si>
  <si>
    <t>Ac. Tartarico añadido (g/L) 2</t>
  </si>
  <si>
    <t>LAB-LO(02)-9</t>
  </si>
  <si>
    <t>3.47</t>
  </si>
  <si>
    <t>Acidez Total (g/L) 2</t>
  </si>
  <si>
    <t>Dosis FDA</t>
  </si>
  <si>
    <t>g</t>
  </si>
  <si>
    <t>LAB-LO(02)-10</t>
  </si>
  <si>
    <t>Fosfato de amonio añadido (g)</t>
  </si>
  <si>
    <t>L</t>
  </si>
  <si>
    <t>Fosfato de amonio añadido (g) 2</t>
  </si>
  <si>
    <t>1,09</t>
  </si>
  <si>
    <t>Acidéz Total (g/L)</t>
  </si>
  <si>
    <t>Valor inicial</t>
  </si>
  <si>
    <t>Descube</t>
  </si>
  <si>
    <t>LAB-LO(02)-11</t>
  </si>
  <si>
    <t>LAB-LO(02)-FML-1</t>
  </si>
  <si>
    <t>LAB-LO(02)-FML-2</t>
  </si>
  <si>
    <t>LAB-LO(02)-FML-3</t>
  </si>
  <si>
    <t>LAB-LO(02)-FML-4</t>
  </si>
  <si>
    <t>LAB-MA(05)-0</t>
  </si>
  <si>
    <t>LAB-LO(02)-FML-5</t>
  </si>
  <si>
    <t>LAB-LO(02)-FML-6</t>
  </si>
  <si>
    <t>LAB-MA(05)-1</t>
  </si>
  <si>
    <t>LAB-MA(05)-2</t>
  </si>
  <si>
    <t>LAB-MA(05)-3</t>
  </si>
  <si>
    <t>LAB-MA(05)-4</t>
  </si>
  <si>
    <t>Valor final</t>
  </si>
  <si>
    <t>Fosfato de amonio añadido (g) 1</t>
  </si>
  <si>
    <t>Add 0,49g FDA</t>
  </si>
  <si>
    <t>LAB-MA(05)-5</t>
  </si>
  <si>
    <t>LAB-MA(05)-5-FDA</t>
  </si>
  <si>
    <t>LAB-MA(05)-6</t>
  </si>
  <si>
    <t>LAB-MA(05)-7</t>
  </si>
  <si>
    <t>LAB-MA(05)-8</t>
  </si>
  <si>
    <t>LAB-MA(05)-9</t>
  </si>
  <si>
    <t>LAB-MA(05)-10</t>
  </si>
  <si>
    <t>LAB-MA(05)-11</t>
  </si>
  <si>
    <t>(Ignorar desde aqui)</t>
  </si>
  <si>
    <t>LAB-MA(05)-12</t>
  </si>
  <si>
    <t>LAB-MA(05)-13</t>
  </si>
  <si>
    <t>LAB-MA(05)-14</t>
  </si>
  <si>
    <t>LAB-MA(05)-15</t>
  </si>
  <si>
    <t>Inicio FML (Co-fermentación)</t>
  </si>
  <si>
    <t>LAB-MA(05)-16</t>
  </si>
  <si>
    <t>LAB-MA(05)-FML-1</t>
  </si>
  <si>
    <t xml:space="preserve">medicion mala </t>
  </si>
  <si>
    <t>LAB-SR(06)-0</t>
  </si>
  <si>
    <t>LAB-SR(06)-1</t>
  </si>
  <si>
    <t>LAB-SR(06)-2</t>
  </si>
  <si>
    <t>LAB-SR(06)-3</t>
  </si>
  <si>
    <t>LAB-SR(06)-4</t>
  </si>
  <si>
    <t>Adicion 0,5 g FDA</t>
  </si>
  <si>
    <t>LAB-SR(06)-5</t>
  </si>
  <si>
    <t>YAN post FDA</t>
  </si>
  <si>
    <t>LAB-SR(06)-5-FDA</t>
  </si>
  <si>
    <t>LAB-SR(06)-6</t>
  </si>
  <si>
    <t>LAB-SR(06)-7</t>
  </si>
  <si>
    <t>LAB-SR(06)-8</t>
  </si>
  <si>
    <t>LAB-SR(06)-9</t>
  </si>
  <si>
    <t>Descube e Inicio FML</t>
  </si>
  <si>
    <t>LAB-SR(06)-10</t>
  </si>
  <si>
    <t>LAB-SR(06)-FML-1</t>
  </si>
  <si>
    <t>LAB-SR(06)-FML-2</t>
  </si>
  <si>
    <t>Fin FML- Volatil peligrosamente alto</t>
  </si>
  <si>
    <t>LAB-SR(06)-FML-3</t>
  </si>
  <si>
    <t>Valor final 1</t>
  </si>
  <si>
    <t>Acidez Total 2 (g/L)</t>
  </si>
  <si>
    <t>Valor final 2</t>
  </si>
  <si>
    <t>LAB-LO(03)-0</t>
  </si>
  <si>
    <t>LAB-VA(07)-0</t>
  </si>
  <si>
    <t>LAB-VA(07)-1</t>
  </si>
  <si>
    <t>LAB-VA(07)-2</t>
  </si>
  <si>
    <t>LAB-VA(07)-3</t>
  </si>
  <si>
    <t>LAB-VA(07)-4</t>
  </si>
  <si>
    <t>LAB-VA(07)-5</t>
  </si>
  <si>
    <t>LAB-VA(07)-6</t>
  </si>
  <si>
    <t>LAB-VA(07)-7</t>
  </si>
  <si>
    <t>LAB-VA(07)-8</t>
  </si>
  <si>
    <t>LAB-VA(07)-9</t>
  </si>
  <si>
    <t>LAB-VA(07)-10</t>
  </si>
  <si>
    <t>LAB-LO(03)-1</t>
  </si>
  <si>
    <t>LAB-LO(03)-2</t>
  </si>
  <si>
    <t>LAB-LO(03)-3</t>
  </si>
  <si>
    <t>LAB-LO(03)-4</t>
  </si>
  <si>
    <t>LAB-LO(03)-5</t>
  </si>
  <si>
    <t>LAB-LO(03)-5-FDA</t>
  </si>
  <si>
    <t>LAB-LO(03)-6</t>
  </si>
  <si>
    <t>LAB-LO(03)-7</t>
  </si>
  <si>
    <t>LAB-LO(03)-8</t>
  </si>
  <si>
    <t>LAB-LO(03)-9</t>
  </si>
  <si>
    <t>LAB-LO(03)-10</t>
  </si>
  <si>
    <t>LAB-LO(03)-11</t>
  </si>
  <si>
    <t>LAB-LO(03)-FML-0</t>
  </si>
  <si>
    <t>LAB-LO(03)-FML-1</t>
  </si>
  <si>
    <t>LAB-LO(03)-FML-2</t>
  </si>
  <si>
    <t>Ac. Tartarico añadido (g/L) 1</t>
  </si>
  <si>
    <t>Acidez Total (g/L)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</si>
</sst>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\-m\-yyyy"/>
    <numFmt numFmtId="166" formatCode="0.0"/>
    <numFmt numFmtId="167" formatCode="yyyy\.m"/>
    <numFmt numFmtId="168" formatCode="d\.m"/>
  </numFmts>
  <fonts count="6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 applyFont="1" applyAlignment="1"/>
    <xf numFmtId="0" fontId="1" fillId="3" borderId="4" xfId="0" applyFont="1" applyFill="1" applyBorder="1" applyAlignment="1"/>
    <xf numFmtId="0" fontId="2" fillId="0" borderId="5" xfId="0" applyFont="1" applyBorder="1" applyAlignment="1"/>
    <xf numFmtId="164" fontId="2" fillId="0" borderId="0" xfId="0" applyNumberFormat="1" applyFont="1" applyAlignment="1"/>
    <xf numFmtId="0" fontId="2" fillId="0" borderId="6" xfId="0" applyFont="1" applyBorder="1"/>
    <xf numFmtId="0" fontId="2" fillId="0" borderId="7" xfId="0" applyFont="1" applyBorder="1" applyAlignment="1"/>
    <xf numFmtId="0" fontId="2" fillId="0" borderId="8" xfId="0" applyFont="1" applyBorder="1" applyAlignment="1"/>
    <xf numFmtId="165" fontId="2" fillId="0" borderId="8" xfId="0" applyNumberFormat="1" applyFont="1" applyBorder="1" applyAlignment="1"/>
    <xf numFmtId="20" fontId="2" fillId="0" borderId="8" xfId="0" applyNumberFormat="1" applyFont="1" applyBorder="1" applyAlignment="1"/>
    <xf numFmtId="0" fontId="2" fillId="0" borderId="8" xfId="0" applyFont="1" applyBorder="1"/>
    <xf numFmtId="2" fontId="2" fillId="0" borderId="8" xfId="0" applyNumberFormat="1" applyFont="1" applyBorder="1" applyAlignment="1"/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/>
    <xf numFmtId="0" fontId="2" fillId="0" borderId="6" xfId="0" applyFont="1" applyBorder="1" applyAlignment="1"/>
    <xf numFmtId="0" fontId="2" fillId="0" borderId="10" xfId="0" applyFont="1" applyBorder="1"/>
    <xf numFmtId="0" fontId="2" fillId="0" borderId="11" xfId="0" applyFont="1" applyBorder="1" applyAlignment="1"/>
    <xf numFmtId="165" fontId="2" fillId="0" borderId="0" xfId="0" applyNumberFormat="1" applyFont="1" applyAlignment="1"/>
    <xf numFmtId="20" fontId="2" fillId="0" borderId="11" xfId="0" applyNumberFormat="1" applyFont="1" applyBorder="1" applyAlignment="1"/>
    <xf numFmtId="2" fontId="2" fillId="0" borderId="11" xfId="0" applyNumberFormat="1" applyFont="1" applyBorder="1" applyAlignment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/>
    <xf numFmtId="165" fontId="2" fillId="0" borderId="11" xfId="0" applyNumberFormat="1" applyFont="1" applyBorder="1" applyAlignment="1"/>
    <xf numFmtId="0" fontId="2" fillId="0" borderId="11" xfId="0" applyFont="1" applyBorder="1"/>
    <xf numFmtId="0" fontId="2" fillId="0" borderId="1" xfId="0" applyFont="1" applyBorder="1" applyAlignment="1"/>
    <xf numFmtId="0" fontId="2" fillId="0" borderId="3" xfId="0" applyFont="1" applyBorder="1" applyAlignment="1"/>
    <xf numFmtId="0" fontId="2" fillId="0" borderId="2" xfId="0" applyFont="1" applyBorder="1" applyAlignment="1"/>
    <xf numFmtId="166" fontId="2" fillId="0" borderId="11" xfId="0" applyNumberFormat="1" applyFont="1" applyBorder="1" applyAlignment="1"/>
    <xf numFmtId="164" fontId="2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/>
    <xf numFmtId="2" fontId="2" fillId="0" borderId="11" xfId="0" applyNumberFormat="1" applyFont="1" applyBorder="1"/>
    <xf numFmtId="0" fontId="2" fillId="0" borderId="13" xfId="0" applyFont="1" applyBorder="1"/>
    <xf numFmtId="165" fontId="2" fillId="0" borderId="14" xfId="0" applyNumberFormat="1" applyFont="1" applyBorder="1" applyAlignment="1"/>
    <xf numFmtId="20" fontId="2" fillId="0" borderId="14" xfId="0" applyNumberFormat="1" applyFont="1" applyBorder="1" applyAlignment="1"/>
    <xf numFmtId="0" fontId="2" fillId="0" borderId="14" xfId="0" applyFont="1" applyBorder="1" applyAlignment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 applyAlignment="1"/>
    <xf numFmtId="165" fontId="2" fillId="0" borderId="17" xfId="0" applyNumberFormat="1" applyFont="1" applyBorder="1" applyAlignment="1"/>
    <xf numFmtId="20" fontId="2" fillId="0" borderId="17" xfId="0" applyNumberFormat="1" applyFont="1" applyBorder="1" applyAlignment="1"/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/>
    <xf numFmtId="0" fontId="2" fillId="0" borderId="20" xfId="0" applyFont="1" applyBorder="1" applyAlignment="1"/>
    <xf numFmtId="0" fontId="2" fillId="0" borderId="20" xfId="0" applyFont="1" applyBorder="1"/>
    <xf numFmtId="0" fontId="2" fillId="0" borderId="21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2" fontId="2" fillId="0" borderId="6" xfId="0" applyNumberFormat="1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20" fontId="2" fillId="0" borderId="24" xfId="0" applyNumberFormat="1" applyFont="1" applyBorder="1" applyAlignment="1"/>
    <xf numFmtId="0" fontId="2" fillId="0" borderId="24" xfId="0" applyFont="1" applyBorder="1" applyAlignment="1"/>
    <xf numFmtId="0" fontId="2" fillId="0" borderId="24" xfId="0" applyFont="1" applyBorder="1" applyAlignment="1">
      <alignment horizontal="center"/>
    </xf>
    <xf numFmtId="0" fontId="1" fillId="3" borderId="25" xfId="0" applyFont="1" applyFill="1" applyBorder="1" applyAlignment="1"/>
    <xf numFmtId="20" fontId="2" fillId="0" borderId="23" xfId="0" applyNumberFormat="1" applyFont="1" applyBorder="1" applyAlignment="1"/>
    <xf numFmtId="1" fontId="1" fillId="3" borderId="25" xfId="0" applyNumberFormat="1" applyFont="1" applyFill="1" applyBorder="1" applyAlignment="1"/>
    <xf numFmtId="3" fontId="2" fillId="0" borderId="11" xfId="0" applyNumberFormat="1" applyFont="1" applyBorder="1" applyAlignment="1"/>
    <xf numFmtId="166" fontId="1" fillId="3" borderId="25" xfId="0" applyNumberFormat="1" applyFont="1" applyFill="1" applyBorder="1" applyAlignment="1"/>
    <xf numFmtId="0" fontId="2" fillId="0" borderId="26" xfId="0" applyFont="1" applyBorder="1" applyAlignment="1">
      <alignment horizontal="center"/>
    </xf>
    <xf numFmtId="1" fontId="2" fillId="0" borderId="8" xfId="0" applyNumberFormat="1" applyFont="1" applyBorder="1" applyAlignment="1"/>
    <xf numFmtId="166" fontId="2" fillId="0" borderId="8" xfId="0" applyNumberFormat="1" applyFont="1" applyBorder="1" applyAlignment="1"/>
    <xf numFmtId="2" fontId="2" fillId="0" borderId="17" xfId="0" applyNumberFormat="1" applyFont="1" applyBorder="1" applyAlignment="1"/>
    <xf numFmtId="1" fontId="2" fillId="0" borderId="11" xfId="0" applyNumberFormat="1" applyFont="1" applyBorder="1" applyAlignment="1"/>
    <xf numFmtId="0" fontId="2" fillId="0" borderId="27" xfId="0" applyFont="1" applyBorder="1" applyAlignment="1"/>
    <xf numFmtId="167" fontId="2" fillId="0" borderId="28" xfId="0" applyNumberFormat="1" applyFont="1" applyBorder="1" applyAlignment="1"/>
    <xf numFmtId="167" fontId="2" fillId="0" borderId="29" xfId="0" applyNumberFormat="1" applyFont="1" applyBorder="1" applyAlignment="1"/>
    <xf numFmtId="0" fontId="3" fillId="0" borderId="0" xfId="0" applyFont="1" applyAlignment="1"/>
    <xf numFmtId="0" fontId="3" fillId="0" borderId="6" xfId="0" applyFont="1" applyBorder="1" applyAlignment="1"/>
    <xf numFmtId="168" fontId="2" fillId="0" borderId="0" xfId="0" applyNumberFormat="1" applyFont="1" applyAlignment="1"/>
    <xf numFmtId="168" fontId="2" fillId="0" borderId="6" xfId="0" applyNumberFormat="1" applyFont="1" applyBorder="1" applyAlignment="1"/>
    <xf numFmtId="168" fontId="3" fillId="0" borderId="0" xfId="0" applyNumberFormat="1" applyFont="1" applyAlignment="1"/>
    <xf numFmtId="0" fontId="2" fillId="0" borderId="13" xfId="0" applyFont="1" applyBorder="1" applyAlignment="1"/>
    <xf numFmtId="0" fontId="2" fillId="4" borderId="14" xfId="0" applyFont="1" applyFill="1" applyBorder="1" applyAlignment="1"/>
    <xf numFmtId="0" fontId="2" fillId="0" borderId="28" xfId="0" applyFont="1" applyBorder="1"/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9" xfId="0" applyFont="1" applyBorder="1" applyAlignment="1"/>
    <xf numFmtId="168" fontId="3" fillId="0" borderId="6" xfId="0" applyNumberFormat="1" applyFont="1" applyBorder="1" applyAlignment="1"/>
    <xf numFmtId="1" fontId="2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horizontal="right"/>
    </xf>
    <xf numFmtId="1" fontId="2" fillId="0" borderId="11" xfId="0" applyNumberFormat="1" applyFont="1" applyBorder="1"/>
    <xf numFmtId="49" fontId="2" fillId="0" borderId="0" xfId="0" applyNumberFormat="1" applyFont="1" applyAlignment="1">
      <alignment horizontal="right"/>
    </xf>
    <xf numFmtId="0" fontId="2" fillId="0" borderId="31" xfId="0" applyFont="1" applyBorder="1" applyAlignment="1"/>
    <xf numFmtId="165" fontId="2" fillId="0" borderId="24" xfId="0" applyNumberFormat="1" applyFont="1" applyBorder="1" applyAlignment="1"/>
    <xf numFmtId="1" fontId="2" fillId="0" borderId="24" xfId="0" applyNumberFormat="1" applyFont="1" applyBorder="1" applyAlignment="1"/>
    <xf numFmtId="166" fontId="2" fillId="0" borderId="24" xfId="0" applyNumberFormat="1" applyFont="1" applyBorder="1" applyAlignment="1"/>
    <xf numFmtId="0" fontId="2" fillId="0" borderId="32" xfId="0" applyFont="1" applyBorder="1" applyAlignment="1">
      <alignment horizontal="center"/>
    </xf>
    <xf numFmtId="0" fontId="2" fillId="0" borderId="8" xfId="0" applyFont="1" applyBorder="1"/>
    <xf numFmtId="166" fontId="2" fillId="0" borderId="8" xfId="0" applyNumberFormat="1" applyFont="1" applyBorder="1"/>
    <xf numFmtId="0" fontId="2" fillId="0" borderId="9" xfId="0" applyFont="1" applyBorder="1" applyAlignment="1">
      <alignment horizontal="center"/>
    </xf>
    <xf numFmtId="166" fontId="2" fillId="0" borderId="11" xfId="0" applyNumberFormat="1" applyFont="1" applyBorder="1"/>
    <xf numFmtId="0" fontId="2" fillId="0" borderId="33" xfId="0" applyFont="1" applyBorder="1" applyAlignment="1"/>
    <xf numFmtId="1" fontId="2" fillId="0" borderId="14" xfId="0" applyNumberFormat="1" applyFont="1" applyBorder="1"/>
    <xf numFmtId="166" fontId="2" fillId="0" borderId="14" xfId="0" applyNumberFormat="1" applyFont="1" applyBorder="1"/>
    <xf numFmtId="0" fontId="2" fillId="5" borderId="0" xfId="0" applyFont="1" applyFill="1" applyAlignment="1"/>
    <xf numFmtId="166" fontId="2" fillId="0" borderId="0" xfId="0" applyNumberFormat="1" applyFont="1"/>
    <xf numFmtId="0" fontId="4" fillId="0" borderId="0" xfId="0" applyFont="1" applyAlignment="1"/>
    <xf numFmtId="0" fontId="2" fillId="0" borderId="31" xfId="0" applyFont="1" applyBorder="1"/>
    <xf numFmtId="0" fontId="5" fillId="6" borderId="5" xfId="0" applyFont="1" applyFill="1" applyBorder="1" applyAlignment="1"/>
    <xf numFmtId="0" fontId="2" fillId="0" borderId="24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2" xfId="0" applyFont="1" applyBorder="1"/>
    <xf numFmtId="0" fontId="4" fillId="0" borderId="0" xfId="0" applyFont="1"/>
    <xf numFmtId="0" fontId="4" fillId="0" borderId="6" xfId="0" applyFont="1" applyBorder="1" applyAlignment="1"/>
    <xf numFmtId="0" fontId="2" fillId="0" borderId="15" xfId="0" applyFont="1" applyBorder="1"/>
    <xf numFmtId="1" fontId="2" fillId="0" borderId="14" xfId="0" applyNumberFormat="1" applyFont="1" applyBorder="1" applyAlignment="1"/>
    <xf numFmtId="0" fontId="2" fillId="0" borderId="23" xfId="0" applyFont="1" applyBorder="1" applyAlignment="1">
      <alignment horizontal="center"/>
    </xf>
    <xf numFmtId="0" fontId="2" fillId="0" borderId="24" xfId="0" applyFont="1" applyBorder="1"/>
    <xf numFmtId="0" fontId="2" fillId="0" borderId="2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2" xfId="0" applyFont="1" applyBorder="1" applyAlignment="1"/>
    <xf numFmtId="165" fontId="2" fillId="0" borderId="8" xfId="0" applyNumberFormat="1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0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20" fontId="2" fillId="0" borderId="14" xfId="0" applyNumberFormat="1" applyFont="1" applyBorder="1" applyAlignment="1">
      <alignment horizontal="center"/>
    </xf>
    <xf numFmtId="165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27" xfId="0" applyFont="1" applyFill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abSelected="1" workbookViewId="0">
      <selection sqref="A1:D1"/>
    </sheetView>
  </sheetViews>
  <sheetFormatPr baseColWidth="10" defaultColWidth="14.42578125" defaultRowHeight="15.75" customHeight="1"/>
  <cols>
    <col min="1" max="1" width="29.7109375" customWidth="1"/>
    <col min="3" max="3" width="17.42578125" customWidth="1"/>
    <col min="6" max="6" width="18.42578125" customWidth="1"/>
    <col min="7" max="7" width="18" customWidth="1"/>
    <col min="8" max="8" width="11.42578125" customWidth="1"/>
    <col min="9" max="9" width="10.7109375" customWidth="1"/>
    <col min="10" max="11" width="16.85546875" customWidth="1"/>
    <col min="12" max="12" width="13.140625" customWidth="1"/>
    <col min="13" max="13" width="13.7109375" customWidth="1"/>
    <col min="14" max="14" width="11.28515625" customWidth="1"/>
    <col min="15" max="15" width="16.7109375" customWidth="1"/>
    <col min="16" max="17" width="16.28515625" customWidth="1"/>
    <col min="18" max="18" width="4.7109375" customWidth="1"/>
    <col min="19" max="19" width="19.140625" customWidth="1"/>
    <col min="20" max="20" width="7.140625" customWidth="1"/>
    <col min="21" max="21" width="17.42578125" customWidth="1"/>
    <col min="22" max="22" width="15.7109375" customWidth="1"/>
  </cols>
  <sheetData>
    <row r="1" spans="1:26" ht="15.75" customHeight="1">
      <c r="A1" s="138" t="s">
        <v>0</v>
      </c>
      <c r="B1" s="139"/>
      <c r="C1" s="139"/>
      <c r="D1" s="140"/>
      <c r="F1" s="64" t="s">
        <v>1</v>
      </c>
      <c r="G1" s="64" t="s">
        <v>2</v>
      </c>
      <c r="H1" s="64" t="s">
        <v>3</v>
      </c>
      <c r="I1" s="64" t="s">
        <v>4</v>
      </c>
      <c r="J1" s="66" t="s">
        <v>5</v>
      </c>
      <c r="K1" s="64" t="s">
        <v>6</v>
      </c>
      <c r="L1" s="64" t="s">
        <v>7</v>
      </c>
      <c r="M1" s="64" t="s">
        <v>8</v>
      </c>
      <c r="N1" s="64" t="s">
        <v>9</v>
      </c>
      <c r="O1" s="64" t="s">
        <v>10</v>
      </c>
      <c r="P1" s="64" t="s">
        <v>11</v>
      </c>
      <c r="Q1" s="68" t="s">
        <v>12</v>
      </c>
      <c r="R1" s="64" t="s">
        <v>13</v>
      </c>
      <c r="S1" s="64" t="s">
        <v>14</v>
      </c>
      <c r="T1" s="64" t="s">
        <v>15</v>
      </c>
      <c r="U1" s="64" t="s">
        <v>16</v>
      </c>
      <c r="V1" s="64" t="s">
        <v>17</v>
      </c>
      <c r="W1" s="64" t="s">
        <v>18</v>
      </c>
      <c r="X1" s="1" t="s">
        <v>19</v>
      </c>
      <c r="Y1" s="1" t="s">
        <v>49</v>
      </c>
      <c r="Z1" s="1" t="s">
        <v>54</v>
      </c>
    </row>
    <row r="2" spans="1:26" ht="15.75" customHeight="1">
      <c r="A2" s="2" t="s">
        <v>20</v>
      </c>
      <c r="B2" s="3">
        <v>7.617</v>
      </c>
      <c r="D2" s="4"/>
      <c r="F2" s="5" t="s">
        <v>55</v>
      </c>
      <c r="G2" s="6" t="s">
        <v>56</v>
      </c>
      <c r="H2" s="7">
        <v>43908</v>
      </c>
      <c r="I2" s="8">
        <v>0.65416666666666667</v>
      </c>
      <c r="J2" s="70">
        <v>0</v>
      </c>
      <c r="K2" s="6">
        <v>216.49</v>
      </c>
      <c r="L2" s="6">
        <v>115.55</v>
      </c>
      <c r="M2" s="6">
        <v>100.94</v>
      </c>
      <c r="N2" s="6">
        <v>209</v>
      </c>
      <c r="O2" s="6">
        <v>1097.4000000000001</v>
      </c>
      <c r="P2" s="6">
        <v>23.5</v>
      </c>
      <c r="Q2" s="71">
        <v>26.7</v>
      </c>
      <c r="R2" s="10">
        <v>3.46</v>
      </c>
      <c r="S2" s="6">
        <v>70</v>
      </c>
      <c r="T2" s="11">
        <v>13.532999999999999</v>
      </c>
      <c r="U2" s="6">
        <v>492</v>
      </c>
      <c r="V2" s="12">
        <v>23</v>
      </c>
      <c r="W2" s="12">
        <v>42</v>
      </c>
      <c r="X2" s="12" t="s">
        <v>29</v>
      </c>
      <c r="Y2" s="12" t="s">
        <v>29</v>
      </c>
      <c r="Z2" s="13">
        <v>8.6999999999999993</v>
      </c>
    </row>
    <row r="3" spans="1:26" ht="15.75" customHeight="1">
      <c r="A3" s="2" t="s">
        <v>21</v>
      </c>
      <c r="B3" s="14">
        <v>3885</v>
      </c>
      <c r="C3" s="14" t="s">
        <v>22</v>
      </c>
      <c r="D3" s="15">
        <v>4.28</v>
      </c>
      <c r="F3" s="16"/>
      <c r="G3" s="17" t="s">
        <v>58</v>
      </c>
      <c r="H3" s="18">
        <v>43909</v>
      </c>
      <c r="I3" s="19">
        <v>0.3888888888888889</v>
      </c>
      <c r="J3" s="73">
        <f>18+(24-16)*60+9*60+20</f>
        <v>1058</v>
      </c>
      <c r="K3" s="17">
        <v>198.55</v>
      </c>
      <c r="L3" s="17">
        <v>105.13</v>
      </c>
      <c r="M3" s="17">
        <v>93.42</v>
      </c>
      <c r="N3" s="17">
        <v>142</v>
      </c>
      <c r="O3" s="17">
        <v>1090</v>
      </c>
      <c r="P3" s="17">
        <v>22</v>
      </c>
      <c r="Q3" s="29">
        <v>27.37</v>
      </c>
      <c r="R3" s="17" t="s">
        <v>29</v>
      </c>
      <c r="S3" s="17">
        <v>169</v>
      </c>
      <c r="T3" s="21">
        <v>15.481999999999999</v>
      </c>
      <c r="U3" s="17">
        <v>611</v>
      </c>
      <c r="V3" s="21" t="s">
        <v>29</v>
      </c>
      <c r="W3" s="21" t="s">
        <v>29</v>
      </c>
      <c r="X3" s="21" t="s">
        <v>29</v>
      </c>
      <c r="Y3" s="21" t="s">
        <v>29</v>
      </c>
      <c r="Z3" s="22" t="s">
        <v>29</v>
      </c>
    </row>
    <row r="4" spans="1:26" ht="15.75" customHeight="1">
      <c r="A4" s="2" t="s">
        <v>23</v>
      </c>
      <c r="B4" s="14">
        <v>3.1349999999999998</v>
      </c>
      <c r="D4" s="4"/>
      <c r="F4" s="23"/>
      <c r="G4" s="17" t="s">
        <v>62</v>
      </c>
      <c r="H4" s="24">
        <v>43909</v>
      </c>
      <c r="I4" s="19">
        <v>0.66388888888888886</v>
      </c>
      <c r="J4" s="73">
        <f>J3+40+5*60+56</f>
        <v>1454</v>
      </c>
      <c r="K4" s="17">
        <v>185.38</v>
      </c>
      <c r="L4" s="17">
        <v>90.8</v>
      </c>
      <c r="M4" s="17">
        <v>94.58</v>
      </c>
      <c r="N4" s="17">
        <v>103</v>
      </c>
      <c r="O4" s="17">
        <v>1087</v>
      </c>
      <c r="P4" s="17">
        <v>21.3</v>
      </c>
      <c r="Q4" s="29">
        <v>24.9</v>
      </c>
      <c r="R4" s="17" t="s">
        <v>29</v>
      </c>
      <c r="S4" s="17">
        <v>249</v>
      </c>
      <c r="T4" s="21">
        <v>21.123000000000001</v>
      </c>
      <c r="U4" s="17">
        <v>729</v>
      </c>
      <c r="V4" s="21" t="s">
        <v>29</v>
      </c>
      <c r="W4" s="21" t="s">
        <v>29</v>
      </c>
      <c r="X4" s="21" t="s">
        <v>29</v>
      </c>
      <c r="Y4" s="21" t="s">
        <v>29</v>
      </c>
      <c r="Z4" s="22" t="s">
        <v>29</v>
      </c>
    </row>
    <row r="5" spans="1:26" ht="15.75" customHeight="1">
      <c r="A5" s="2" t="s">
        <v>24</v>
      </c>
      <c r="B5">
        <f>(D3/B2)*100</f>
        <v>56.190101089667856</v>
      </c>
      <c r="C5">
        <f>(B4/B2)*100</f>
        <v>41.157936195352498</v>
      </c>
      <c r="D5" s="4">
        <f>100-B5-C5</f>
        <v>2.6519627149796463</v>
      </c>
      <c r="F5" s="16"/>
      <c r="G5" s="17" t="s">
        <v>67</v>
      </c>
      <c r="H5" s="24">
        <v>43910</v>
      </c>
      <c r="I5" s="19">
        <v>0.42569444444444443</v>
      </c>
      <c r="J5" s="73">
        <f>J4+4+(24-16)*60+10*60+13</f>
        <v>2551</v>
      </c>
      <c r="K5" s="20">
        <v>158.21</v>
      </c>
      <c r="L5" s="20">
        <v>74.209999999999994</v>
      </c>
      <c r="M5" s="17">
        <v>84</v>
      </c>
      <c r="N5" s="17">
        <v>36</v>
      </c>
      <c r="O5" s="17">
        <v>1069.8</v>
      </c>
      <c r="P5" s="17">
        <v>17.5</v>
      </c>
      <c r="Q5" s="29">
        <v>25.1</v>
      </c>
      <c r="R5" s="17" t="s">
        <v>29</v>
      </c>
      <c r="S5" s="17">
        <v>293</v>
      </c>
      <c r="T5" s="21">
        <v>18.021000000000001</v>
      </c>
      <c r="U5" s="17">
        <v>741</v>
      </c>
      <c r="V5" s="21" t="s">
        <v>29</v>
      </c>
      <c r="W5" s="21" t="s">
        <v>29</v>
      </c>
      <c r="X5" s="21" t="s">
        <v>29</v>
      </c>
      <c r="Y5" s="21" t="s">
        <v>29</v>
      </c>
      <c r="Z5" s="22" t="s">
        <v>29</v>
      </c>
    </row>
    <row r="6" spans="1:26" ht="15.75" customHeight="1">
      <c r="A6" s="26" t="s">
        <v>25</v>
      </c>
      <c r="B6" s="27"/>
      <c r="C6" s="28" t="s">
        <v>26</v>
      </c>
      <c r="D6" s="27">
        <v>2500</v>
      </c>
      <c r="F6" s="23"/>
      <c r="G6" s="17" t="s">
        <v>69</v>
      </c>
      <c r="H6" s="24">
        <v>43910</v>
      </c>
      <c r="I6" s="19">
        <v>0.64652777777777781</v>
      </c>
      <c r="J6" s="73">
        <f>47+4*60+31+J5</f>
        <v>2869</v>
      </c>
      <c r="K6" s="20">
        <v>142.63</v>
      </c>
      <c r="L6" s="17">
        <v>61.25</v>
      </c>
      <c r="M6" s="17">
        <v>81.38</v>
      </c>
      <c r="N6" s="17">
        <v>37</v>
      </c>
      <c r="O6" s="17">
        <v>1064.3</v>
      </c>
      <c r="P6" s="29">
        <v>16.399999999999999</v>
      </c>
      <c r="Q6" s="29">
        <v>26</v>
      </c>
      <c r="R6" s="17" t="s">
        <v>29</v>
      </c>
      <c r="S6" s="17">
        <v>305</v>
      </c>
      <c r="T6" s="30">
        <v>17.469000000000001</v>
      </c>
      <c r="U6" s="17">
        <v>794</v>
      </c>
      <c r="V6" s="21" t="s">
        <v>29</v>
      </c>
      <c r="W6" s="21" t="s">
        <v>29</v>
      </c>
      <c r="X6" s="21" t="s">
        <v>29</v>
      </c>
      <c r="Y6" s="21" t="s">
        <v>29</v>
      </c>
      <c r="Z6" s="22" t="s">
        <v>29</v>
      </c>
    </row>
    <row r="7" spans="1:26" ht="15.75" customHeight="1">
      <c r="F7" s="23"/>
      <c r="G7" s="17" t="s">
        <v>71</v>
      </c>
      <c r="H7" s="24">
        <v>43911</v>
      </c>
      <c r="I7" s="19">
        <v>0.68055555555555558</v>
      </c>
      <c r="J7" s="73">
        <f>29+(24-16)*60+16*60+20+J6</f>
        <v>4358</v>
      </c>
      <c r="K7" s="17">
        <v>114.81</v>
      </c>
      <c r="L7" s="17">
        <v>47.99</v>
      </c>
      <c r="M7" s="17">
        <v>66.819999999999993</v>
      </c>
      <c r="N7" s="17">
        <v>19</v>
      </c>
      <c r="O7" s="29">
        <v>1047.9000000000001</v>
      </c>
      <c r="P7" s="29">
        <v>12.5</v>
      </c>
      <c r="Q7" s="29">
        <v>25.2</v>
      </c>
      <c r="R7" s="17" t="s">
        <v>29</v>
      </c>
      <c r="S7" s="17">
        <v>370</v>
      </c>
      <c r="T7" s="21">
        <v>14.648999999999999</v>
      </c>
      <c r="U7" s="17">
        <v>984</v>
      </c>
      <c r="V7" s="21" t="s">
        <v>29</v>
      </c>
      <c r="W7" s="21" t="s">
        <v>29</v>
      </c>
      <c r="X7" s="21" t="s">
        <v>29</v>
      </c>
      <c r="Y7" s="21" t="s">
        <v>29</v>
      </c>
      <c r="Z7" s="22" t="s">
        <v>29</v>
      </c>
    </row>
    <row r="8" spans="1:26" ht="15.75" customHeight="1">
      <c r="F8" s="23" t="s">
        <v>73</v>
      </c>
      <c r="G8" s="17" t="s">
        <v>74</v>
      </c>
      <c r="H8" s="24">
        <v>43911</v>
      </c>
      <c r="I8" s="19">
        <v>0.68402777777777779</v>
      </c>
      <c r="J8" s="73">
        <v>4363</v>
      </c>
      <c r="K8" s="17">
        <v>114.81</v>
      </c>
      <c r="L8" s="17">
        <v>47.99</v>
      </c>
      <c r="M8" s="17">
        <v>66.819999999999993</v>
      </c>
      <c r="N8" s="17">
        <v>136</v>
      </c>
      <c r="O8" s="29">
        <v>1047.9000000000001</v>
      </c>
      <c r="P8" s="29">
        <v>12.5</v>
      </c>
      <c r="Q8" s="29">
        <v>25.5</v>
      </c>
      <c r="R8" s="17" t="s">
        <v>29</v>
      </c>
      <c r="S8" s="17">
        <v>370</v>
      </c>
      <c r="T8" s="21">
        <v>14.648999999999999</v>
      </c>
      <c r="U8" s="17">
        <v>984</v>
      </c>
      <c r="V8" s="21" t="s">
        <v>29</v>
      </c>
      <c r="W8" s="21" t="s">
        <v>29</v>
      </c>
      <c r="X8" s="21" t="s">
        <v>29</v>
      </c>
      <c r="Y8" s="21" t="s">
        <v>29</v>
      </c>
      <c r="Z8" s="22" t="s">
        <v>29</v>
      </c>
    </row>
    <row r="9" spans="1:26" ht="15.75" customHeight="1">
      <c r="A9" s="141" t="s">
        <v>27</v>
      </c>
      <c r="B9" s="142"/>
      <c r="C9" s="142"/>
      <c r="D9" s="143"/>
      <c r="F9" s="23"/>
      <c r="G9" s="17" t="s">
        <v>82</v>
      </c>
      <c r="H9" s="24">
        <v>43912</v>
      </c>
      <c r="I9" s="19">
        <v>0.63541666666666663</v>
      </c>
      <c r="J9" s="73">
        <v>5733</v>
      </c>
      <c r="K9" s="17">
        <v>86.94</v>
      </c>
      <c r="L9" s="17">
        <v>25.74</v>
      </c>
      <c r="M9" s="20">
        <v>61.2</v>
      </c>
      <c r="N9" s="17">
        <v>42</v>
      </c>
      <c r="O9" s="29">
        <v>1033.8</v>
      </c>
      <c r="P9" s="29">
        <v>8.8000000000000007</v>
      </c>
      <c r="Q9" s="29">
        <v>20.149999999999999</v>
      </c>
      <c r="R9" s="31" t="s">
        <v>29</v>
      </c>
      <c r="S9" s="17">
        <v>360</v>
      </c>
      <c r="T9" s="21">
        <v>11.846</v>
      </c>
      <c r="U9" s="17">
        <v>1005</v>
      </c>
      <c r="V9" s="21" t="s">
        <v>29</v>
      </c>
      <c r="W9" s="21" t="s">
        <v>29</v>
      </c>
      <c r="X9" s="21" t="s">
        <v>29</v>
      </c>
      <c r="Y9" s="21" t="s">
        <v>29</v>
      </c>
      <c r="Z9" s="22" t="s">
        <v>29</v>
      </c>
    </row>
    <row r="10" spans="1:26" ht="15.75" customHeight="1">
      <c r="A10" s="74" t="s">
        <v>10</v>
      </c>
      <c r="B10" s="86">
        <v>1104.4000000000001</v>
      </c>
      <c r="C10" s="86">
        <v>1098.4000000000001</v>
      </c>
      <c r="D10" s="87">
        <v>1097.4000000000001</v>
      </c>
      <c r="F10" s="23"/>
      <c r="G10" s="17" t="s">
        <v>86</v>
      </c>
      <c r="H10" s="24">
        <v>43913</v>
      </c>
      <c r="I10" s="19">
        <v>0.41458333333333336</v>
      </c>
      <c r="J10" s="73">
        <v>6855</v>
      </c>
      <c r="K10" s="17">
        <v>59.96</v>
      </c>
      <c r="L10" s="17">
        <v>18.11</v>
      </c>
      <c r="M10" s="20">
        <v>41.86</v>
      </c>
      <c r="N10" s="17">
        <v>27</v>
      </c>
      <c r="O10" s="17">
        <v>1021.7</v>
      </c>
      <c r="P10" s="17">
        <v>6.1</v>
      </c>
      <c r="Q10" s="29">
        <v>25.9</v>
      </c>
      <c r="R10" s="17" t="s">
        <v>29</v>
      </c>
      <c r="S10" s="17">
        <v>365</v>
      </c>
      <c r="T10" s="21">
        <v>10.457000000000001</v>
      </c>
      <c r="U10" s="17">
        <v>1106</v>
      </c>
      <c r="V10" s="21" t="s">
        <v>29</v>
      </c>
      <c r="W10" s="21" t="s">
        <v>29</v>
      </c>
      <c r="X10" s="21" t="s">
        <v>29</v>
      </c>
      <c r="Y10" s="21" t="s">
        <v>29</v>
      </c>
      <c r="Z10" s="22" t="s">
        <v>29</v>
      </c>
    </row>
    <row r="11" spans="1:26" ht="15.75" customHeight="1">
      <c r="A11" s="2" t="s">
        <v>68</v>
      </c>
      <c r="C11" s="77">
        <v>250</v>
      </c>
      <c r="D11" s="78">
        <v>52</v>
      </c>
      <c r="F11" s="23"/>
      <c r="G11" s="17" t="s">
        <v>91</v>
      </c>
      <c r="H11" s="24">
        <v>43913</v>
      </c>
      <c r="I11" s="19">
        <v>0.67986111111111114</v>
      </c>
      <c r="J11" s="73">
        <v>7237</v>
      </c>
      <c r="K11" s="17">
        <v>54.68</v>
      </c>
      <c r="L11" s="17">
        <v>10.29</v>
      </c>
      <c r="M11" s="17">
        <v>44.39</v>
      </c>
      <c r="N11" s="17">
        <v>52</v>
      </c>
      <c r="O11" s="29">
        <v>1017.5</v>
      </c>
      <c r="P11" s="17">
        <v>5</v>
      </c>
      <c r="Q11" s="29">
        <v>28.12</v>
      </c>
      <c r="R11" s="17" t="s">
        <v>29</v>
      </c>
      <c r="S11" s="17">
        <v>355</v>
      </c>
      <c r="T11" s="21">
        <v>11.243</v>
      </c>
      <c r="U11" s="17">
        <v>1105</v>
      </c>
      <c r="V11" s="21" t="s">
        <v>29</v>
      </c>
      <c r="W11" s="21" t="s">
        <v>29</v>
      </c>
      <c r="X11" s="21" t="s">
        <v>29</v>
      </c>
      <c r="Y11" s="21" t="s">
        <v>29</v>
      </c>
      <c r="Z11" s="22" t="s">
        <v>29</v>
      </c>
    </row>
    <row r="12" spans="1:26" ht="15.75" customHeight="1">
      <c r="A12" s="2" t="s">
        <v>11</v>
      </c>
      <c r="B12" s="14">
        <v>25</v>
      </c>
      <c r="C12" s="14">
        <v>23.8</v>
      </c>
      <c r="D12" s="15">
        <v>23.5</v>
      </c>
      <c r="F12" s="16"/>
      <c r="G12" s="17" t="s">
        <v>93</v>
      </c>
      <c r="H12" s="24">
        <v>43914</v>
      </c>
      <c r="I12" s="19">
        <v>0.35902777777777778</v>
      </c>
      <c r="J12" s="73">
        <f>41+(24-17)*60+8*60+37+J11</f>
        <v>8215</v>
      </c>
      <c r="K12" s="17">
        <v>38.880000000000003</v>
      </c>
      <c r="L12" s="17">
        <v>4.7699999999999996</v>
      </c>
      <c r="M12" s="17">
        <v>34.11</v>
      </c>
      <c r="N12" s="17">
        <v>40</v>
      </c>
      <c r="O12" s="17">
        <v>1009.4</v>
      </c>
      <c r="P12" s="17">
        <v>3.1</v>
      </c>
      <c r="Q12" s="29">
        <v>26.36</v>
      </c>
      <c r="R12" s="17" t="s">
        <v>29</v>
      </c>
      <c r="S12" s="17">
        <v>378</v>
      </c>
      <c r="T12" s="21">
        <v>11.34</v>
      </c>
      <c r="U12" s="17">
        <v>1171</v>
      </c>
      <c r="V12" s="21" t="s">
        <v>29</v>
      </c>
      <c r="W12" s="21" t="s">
        <v>29</v>
      </c>
      <c r="X12" s="21" t="s">
        <v>29</v>
      </c>
      <c r="Y12" s="21" t="s">
        <v>29</v>
      </c>
      <c r="Z12" s="22" t="s">
        <v>29</v>
      </c>
    </row>
    <row r="13" spans="1:26" ht="15.75" customHeight="1">
      <c r="A13" s="2" t="s">
        <v>13</v>
      </c>
      <c r="B13" s="14">
        <v>3.81</v>
      </c>
      <c r="D13" s="4"/>
      <c r="F13" s="16"/>
      <c r="G13" s="17" t="s">
        <v>98</v>
      </c>
      <c r="H13" s="24">
        <v>43914</v>
      </c>
      <c r="I13" s="19">
        <v>0.60555555555555551</v>
      </c>
      <c r="J13" s="92">
        <f>23+5*60+32+J12</f>
        <v>8570</v>
      </c>
      <c r="K13" s="17">
        <v>30.51</v>
      </c>
      <c r="L13" s="17">
        <v>7.23</v>
      </c>
      <c r="M13" s="17">
        <v>23.29</v>
      </c>
      <c r="N13" s="17">
        <v>25</v>
      </c>
      <c r="O13" s="17">
        <v>1007</v>
      </c>
      <c r="P13" s="17">
        <v>2.4</v>
      </c>
      <c r="Q13" s="29">
        <v>26.1</v>
      </c>
      <c r="R13" s="17" t="s">
        <v>29</v>
      </c>
      <c r="S13" s="17">
        <v>371</v>
      </c>
      <c r="T13" s="21">
        <v>10.368</v>
      </c>
      <c r="U13" s="17">
        <v>1174</v>
      </c>
      <c r="V13" s="21" t="s">
        <v>29</v>
      </c>
      <c r="W13" s="21" t="s">
        <v>29</v>
      </c>
      <c r="X13" s="21" t="s">
        <v>29</v>
      </c>
      <c r="Y13" s="21" t="s">
        <v>29</v>
      </c>
      <c r="Z13" s="22" t="s">
        <v>29</v>
      </c>
    </row>
    <row r="14" spans="1:26" ht="15.75" customHeight="1">
      <c r="A14" s="2" t="s">
        <v>103</v>
      </c>
      <c r="B14" s="77" t="s">
        <v>104</v>
      </c>
      <c r="D14" s="4"/>
      <c r="F14" s="94" t="s">
        <v>105</v>
      </c>
      <c r="G14" s="62" t="s">
        <v>106</v>
      </c>
      <c r="H14" s="95">
        <v>43915</v>
      </c>
      <c r="I14" s="61">
        <v>0.37013888888888891</v>
      </c>
      <c r="J14" s="96">
        <f>28+(24-15)*60+8*60+53+J13</f>
        <v>9671</v>
      </c>
      <c r="K14" s="62">
        <v>18.170000000000002</v>
      </c>
      <c r="L14" s="62">
        <v>3.47</v>
      </c>
      <c r="M14" s="62">
        <v>14.7</v>
      </c>
      <c r="N14" s="62">
        <v>26</v>
      </c>
      <c r="O14" s="62">
        <v>999.9</v>
      </c>
      <c r="P14" s="62">
        <v>0.6</v>
      </c>
      <c r="Q14" s="97">
        <v>26</v>
      </c>
      <c r="R14" s="62">
        <v>3.51</v>
      </c>
      <c r="S14" s="62">
        <v>394</v>
      </c>
      <c r="T14" s="63">
        <v>10.073</v>
      </c>
      <c r="U14" s="62">
        <v>1373</v>
      </c>
      <c r="V14" s="63">
        <v>0</v>
      </c>
      <c r="W14" s="63">
        <v>8</v>
      </c>
      <c r="X14" s="63">
        <v>1.08</v>
      </c>
      <c r="Y14" s="63">
        <v>0.14000000000000001</v>
      </c>
      <c r="Z14" s="98">
        <v>7.9</v>
      </c>
    </row>
    <row r="15" spans="1:26" ht="15.75" customHeight="1">
      <c r="A15" s="2" t="s">
        <v>28</v>
      </c>
      <c r="B15" s="14">
        <v>0</v>
      </c>
      <c r="D15" s="15">
        <v>23</v>
      </c>
      <c r="F15" s="5" t="s">
        <v>78</v>
      </c>
      <c r="G15" s="6" t="s">
        <v>107</v>
      </c>
      <c r="H15" s="7">
        <v>43916</v>
      </c>
      <c r="I15" s="99"/>
      <c r="J15" s="70"/>
      <c r="K15" s="6">
        <v>16.25</v>
      </c>
      <c r="L15" s="6">
        <v>0.37</v>
      </c>
      <c r="M15" s="6">
        <v>15.88</v>
      </c>
      <c r="N15" s="6"/>
      <c r="O15" s="6"/>
      <c r="P15" s="9"/>
      <c r="Q15" s="100">
        <f>AVERAGE(Q2:Q14)</f>
        <v>25.646153846153847</v>
      </c>
      <c r="R15" s="6">
        <v>3.47</v>
      </c>
      <c r="S15" s="6"/>
      <c r="T15" s="12"/>
      <c r="U15" s="6"/>
      <c r="V15" s="12"/>
      <c r="W15" s="12"/>
      <c r="X15" s="12">
        <v>1.03</v>
      </c>
      <c r="Y15" s="12">
        <v>0.16</v>
      </c>
      <c r="Z15" s="101"/>
    </row>
    <row r="16" spans="1:26" ht="15.75" customHeight="1">
      <c r="A16" s="2" t="s">
        <v>30</v>
      </c>
      <c r="B16" s="14">
        <v>4</v>
      </c>
      <c r="D16" s="15">
        <v>42</v>
      </c>
      <c r="F16" s="16"/>
      <c r="G16" s="41" t="s">
        <v>108</v>
      </c>
      <c r="H16" s="24">
        <v>43917</v>
      </c>
      <c r="I16" s="51"/>
      <c r="J16" s="92"/>
      <c r="K16" s="17">
        <v>16.66</v>
      </c>
      <c r="L16" s="17">
        <v>1.06</v>
      </c>
      <c r="M16" s="17">
        <v>15.73</v>
      </c>
      <c r="N16" s="25"/>
      <c r="O16" s="25"/>
      <c r="P16" s="25"/>
      <c r="Q16" s="102"/>
      <c r="R16" s="17">
        <v>3.4</v>
      </c>
      <c r="S16" s="25"/>
      <c r="T16" s="52"/>
      <c r="U16" s="25"/>
      <c r="V16" s="52"/>
      <c r="W16" s="52"/>
      <c r="X16" s="21">
        <v>1.07</v>
      </c>
      <c r="Y16" s="21">
        <v>0.14000000000000001</v>
      </c>
      <c r="Z16" s="53"/>
    </row>
    <row r="17" spans="1:26" ht="15.75" customHeight="1">
      <c r="A17" s="47" t="s">
        <v>31</v>
      </c>
      <c r="B17" s="48">
        <v>102</v>
      </c>
      <c r="C17" s="49"/>
      <c r="D17" s="50"/>
      <c r="F17" s="16"/>
      <c r="G17" s="41" t="s">
        <v>109</v>
      </c>
      <c r="H17" s="24">
        <v>43918</v>
      </c>
      <c r="I17" s="51"/>
      <c r="J17" s="92"/>
      <c r="K17" s="17">
        <v>15.75</v>
      </c>
      <c r="L17" s="17">
        <v>0</v>
      </c>
      <c r="M17" s="17">
        <v>15.78</v>
      </c>
      <c r="N17" s="25"/>
      <c r="O17" s="25"/>
      <c r="P17" s="25"/>
      <c r="Q17" s="102"/>
      <c r="R17" s="17">
        <v>3.36</v>
      </c>
      <c r="S17" s="25"/>
      <c r="T17" s="52"/>
      <c r="U17" s="25"/>
      <c r="V17" s="52"/>
      <c r="W17" s="52"/>
      <c r="X17" s="21">
        <v>1</v>
      </c>
      <c r="Y17" s="21">
        <v>0.16</v>
      </c>
      <c r="Z17" s="53"/>
    </row>
    <row r="18" spans="1:26" ht="15.75" customHeight="1">
      <c r="F18" s="16"/>
      <c r="G18" s="41" t="s">
        <v>110</v>
      </c>
      <c r="H18" s="24">
        <v>43919</v>
      </c>
      <c r="I18" s="51"/>
      <c r="J18" s="92"/>
      <c r="K18" s="17">
        <v>16.89</v>
      </c>
      <c r="L18" s="17">
        <v>0.32</v>
      </c>
      <c r="M18" s="17">
        <v>16.57</v>
      </c>
      <c r="N18" s="25"/>
      <c r="O18" s="25"/>
      <c r="P18" s="25"/>
      <c r="Q18" s="102"/>
      <c r="R18" s="17">
        <v>3.41</v>
      </c>
      <c r="S18" s="25"/>
      <c r="T18" s="52"/>
      <c r="U18" s="25"/>
      <c r="V18" s="52"/>
      <c r="W18" s="52"/>
      <c r="X18" s="21">
        <v>0.97</v>
      </c>
      <c r="Y18" s="21">
        <v>0.16</v>
      </c>
      <c r="Z18" s="53"/>
    </row>
    <row r="19" spans="1:26" ht="15.75" customHeight="1">
      <c r="A19" s="138" t="s">
        <v>32</v>
      </c>
      <c r="B19" s="139"/>
      <c r="C19" s="139"/>
      <c r="D19" s="140"/>
      <c r="F19" s="16"/>
      <c r="G19" s="41" t="s">
        <v>112</v>
      </c>
      <c r="H19" s="24">
        <v>43921</v>
      </c>
      <c r="I19" s="51"/>
      <c r="J19" s="92"/>
      <c r="K19" s="17">
        <v>14.88</v>
      </c>
      <c r="L19" s="17">
        <v>2.02</v>
      </c>
      <c r="M19" s="17">
        <v>12.86</v>
      </c>
      <c r="N19" s="25"/>
      <c r="O19" s="25"/>
      <c r="P19" s="25"/>
      <c r="Q19" s="102"/>
      <c r="R19" s="17">
        <v>3.4</v>
      </c>
      <c r="S19" s="25"/>
      <c r="T19" s="52"/>
      <c r="U19" s="25"/>
      <c r="V19" s="52"/>
      <c r="W19" s="52"/>
      <c r="X19" s="21">
        <v>0.86</v>
      </c>
      <c r="Y19" s="21">
        <v>0.17</v>
      </c>
      <c r="Z19" s="53"/>
    </row>
    <row r="20" spans="1:26" ht="15.75" customHeight="1">
      <c r="A20" s="74" t="s">
        <v>33</v>
      </c>
      <c r="B20" s="86">
        <v>3.45</v>
      </c>
      <c r="C20" s="84"/>
      <c r="D20" s="87"/>
      <c r="F20" s="82" t="s">
        <v>83</v>
      </c>
      <c r="G20" s="103" t="s">
        <v>113</v>
      </c>
      <c r="H20" s="34">
        <v>43934</v>
      </c>
      <c r="I20" s="54"/>
      <c r="J20" s="104"/>
      <c r="K20" s="36">
        <v>8.7200000000000006</v>
      </c>
      <c r="L20" s="36">
        <v>1.1100000000000001</v>
      </c>
      <c r="M20" s="36">
        <v>7.6</v>
      </c>
      <c r="N20" s="37"/>
      <c r="O20" s="37"/>
      <c r="P20" s="37"/>
      <c r="Q20" s="105"/>
      <c r="R20" s="36">
        <v>3.45</v>
      </c>
      <c r="S20" s="37"/>
      <c r="T20" s="55"/>
      <c r="U20" s="37"/>
      <c r="V20" s="55"/>
      <c r="W20" s="55"/>
      <c r="X20" s="38">
        <v>0</v>
      </c>
      <c r="Y20" s="38">
        <v>0.4</v>
      </c>
      <c r="Z20" s="56"/>
    </row>
    <row r="21" spans="1:26" ht="15.75" customHeight="1">
      <c r="A21" s="2" t="s">
        <v>87</v>
      </c>
      <c r="B21" s="14">
        <v>6</v>
      </c>
      <c r="C21" s="106">
        <v>15.6</v>
      </c>
      <c r="D21" s="57">
        <v>3.46</v>
      </c>
      <c r="J21" s="89"/>
      <c r="Q21" s="107"/>
    </row>
    <row r="22" spans="1:26" ht="15.75" customHeight="1">
      <c r="A22" s="2" t="s">
        <v>77</v>
      </c>
      <c r="B22" s="77" t="s">
        <v>104</v>
      </c>
      <c r="D22" s="78" t="s">
        <v>118</v>
      </c>
      <c r="J22" s="89"/>
      <c r="Q22" s="107"/>
    </row>
    <row r="23" spans="1:26" ht="15.75" customHeight="1">
      <c r="A23" s="2" t="s">
        <v>36</v>
      </c>
      <c r="B23" s="14">
        <v>250</v>
      </c>
      <c r="D23" s="15">
        <v>102</v>
      </c>
      <c r="J23" s="89"/>
      <c r="Q23" s="107"/>
    </row>
    <row r="24" spans="1:26" ht="15.75" customHeight="1">
      <c r="A24" s="2" t="s">
        <v>119</v>
      </c>
      <c r="B24" s="14">
        <v>1.83</v>
      </c>
      <c r="D24" s="15">
        <v>192</v>
      </c>
      <c r="F24" s="14" t="s">
        <v>96</v>
      </c>
      <c r="G24" s="89">
        <f>(G25/G26)*100</f>
        <v>61.141628851206107</v>
      </c>
      <c r="J24" s="89"/>
      <c r="Q24" s="107"/>
    </row>
    <row r="25" spans="1:26" ht="15.75" customHeight="1">
      <c r="A25" s="2" t="s">
        <v>101</v>
      </c>
      <c r="B25" s="14">
        <v>0.73</v>
      </c>
      <c r="D25" s="15">
        <v>209</v>
      </c>
      <c r="F25" s="14" t="s">
        <v>97</v>
      </c>
      <c r="G25">
        <f>B24+B25</f>
        <v>2.56</v>
      </c>
      <c r="J25" s="89"/>
      <c r="Q25" s="107"/>
    </row>
    <row r="26" spans="1:26" ht="15.75" customHeight="1">
      <c r="A26" s="2" t="s">
        <v>39</v>
      </c>
      <c r="B26" s="14">
        <v>5</v>
      </c>
      <c r="C26" s="14">
        <v>4.2</v>
      </c>
      <c r="D26" s="4"/>
      <c r="F26" s="14" t="s">
        <v>100</v>
      </c>
      <c r="G26">
        <f>(B3+C11+D11)/1000</f>
        <v>4.1870000000000003</v>
      </c>
      <c r="J26" s="89"/>
      <c r="Q26" s="107"/>
    </row>
    <row r="27" spans="1:26" ht="15.75" customHeight="1">
      <c r="A27" s="47" t="s">
        <v>40</v>
      </c>
      <c r="B27" s="48">
        <v>20</v>
      </c>
      <c r="C27" s="48"/>
      <c r="D27" s="50"/>
      <c r="J27" s="89"/>
      <c r="Q27" s="107"/>
    </row>
    <row r="28" spans="1:26" ht="15.75" customHeight="1">
      <c r="J28" s="89"/>
      <c r="Q28" s="107"/>
    </row>
    <row r="29" spans="1:26" ht="15.75" customHeight="1">
      <c r="A29" s="138" t="s">
        <v>41</v>
      </c>
      <c r="B29" s="139"/>
      <c r="C29" s="139"/>
      <c r="D29" s="140"/>
      <c r="J29" s="89"/>
      <c r="Q29" s="107"/>
    </row>
    <row r="30" spans="1:26" ht="15.75" customHeight="1">
      <c r="A30" s="2" t="s">
        <v>42</v>
      </c>
      <c r="B30" s="14" t="s">
        <v>43</v>
      </c>
      <c r="C30" s="14" t="s">
        <v>44</v>
      </c>
      <c r="D30" s="15" t="s">
        <v>45</v>
      </c>
      <c r="J30" s="89"/>
      <c r="Q30" s="107"/>
    </row>
    <row r="31" spans="1:26" ht="15.75" customHeight="1">
      <c r="A31" s="2" t="s">
        <v>46</v>
      </c>
      <c r="B31" s="14">
        <v>2</v>
      </c>
      <c r="C31" s="14">
        <v>2</v>
      </c>
      <c r="D31" s="15">
        <v>3</v>
      </c>
      <c r="J31" s="89"/>
      <c r="Q31" s="107"/>
    </row>
    <row r="32" spans="1:26" ht="15.75" customHeight="1">
      <c r="A32" s="2" t="s">
        <v>47</v>
      </c>
      <c r="B32" s="14">
        <v>2</v>
      </c>
      <c r="C32" s="14">
        <v>1</v>
      </c>
      <c r="D32" s="15">
        <v>2</v>
      </c>
      <c r="J32" s="89"/>
      <c r="Q32" s="107"/>
    </row>
    <row r="33" spans="1:17" ht="15.75" customHeight="1">
      <c r="A33" s="47" t="s">
        <v>48</v>
      </c>
      <c r="B33" s="48">
        <v>2</v>
      </c>
      <c r="C33" s="48">
        <v>1</v>
      </c>
      <c r="D33" s="58">
        <v>1</v>
      </c>
      <c r="J33" s="89"/>
      <c r="Q33" s="107"/>
    </row>
    <row r="34" spans="1:17" ht="15.75" customHeight="1">
      <c r="J34" s="89"/>
      <c r="Q34" s="107"/>
    </row>
    <row r="35" spans="1:17" ht="15.75" customHeight="1">
      <c r="J35" s="89"/>
      <c r="Q35" s="107"/>
    </row>
    <row r="36" spans="1:17" ht="15.75" customHeight="1">
      <c r="J36" s="89"/>
      <c r="Q36" s="107"/>
    </row>
    <row r="37" spans="1:17" ht="15.75" customHeight="1">
      <c r="J37" s="89"/>
      <c r="Q37" s="107"/>
    </row>
    <row r="38" spans="1:17" ht="12.75">
      <c r="J38" s="89"/>
      <c r="Q38" s="107"/>
    </row>
    <row r="39" spans="1:17" ht="12.75">
      <c r="J39" s="89"/>
      <c r="Q39" s="107"/>
    </row>
    <row r="40" spans="1:17" ht="12.75">
      <c r="J40" s="89"/>
      <c r="Q40" s="107"/>
    </row>
    <row r="41" spans="1:17" ht="12.75">
      <c r="J41" s="89"/>
      <c r="Q41" s="107"/>
    </row>
    <row r="42" spans="1:17" ht="12.75">
      <c r="J42" s="89"/>
      <c r="Q42" s="107"/>
    </row>
    <row r="43" spans="1:17" ht="12.75">
      <c r="J43" s="89"/>
      <c r="Q43" s="107"/>
    </row>
    <row r="44" spans="1:17" ht="12.75">
      <c r="J44" s="89"/>
      <c r="Q44" s="107"/>
    </row>
    <row r="45" spans="1:17" ht="12.75">
      <c r="J45" s="89"/>
      <c r="Q45" s="107"/>
    </row>
    <row r="46" spans="1:17" ht="12.75">
      <c r="J46" s="89"/>
      <c r="Q46" s="107"/>
    </row>
    <row r="47" spans="1:17" ht="12.75">
      <c r="J47" s="89"/>
      <c r="Q47" s="107"/>
    </row>
    <row r="48" spans="1:17" ht="12.75">
      <c r="J48" s="89"/>
      <c r="Q48" s="107"/>
    </row>
    <row r="49" spans="10:17" ht="12.75">
      <c r="J49" s="89"/>
      <c r="Q49" s="107"/>
    </row>
    <row r="50" spans="10:17" ht="12.75">
      <c r="J50" s="89"/>
      <c r="Q50" s="107"/>
    </row>
    <row r="51" spans="10:17" ht="12.75">
      <c r="J51" s="89"/>
      <c r="Q51" s="107"/>
    </row>
    <row r="52" spans="10:17" ht="12.75">
      <c r="J52" s="89"/>
      <c r="Q52" s="107"/>
    </row>
    <row r="53" spans="10:17" ht="12.75">
      <c r="J53" s="89"/>
      <c r="Q53" s="107"/>
    </row>
    <row r="54" spans="10:17" ht="12.75">
      <c r="J54" s="89"/>
      <c r="Q54" s="107"/>
    </row>
    <row r="55" spans="10:17" ht="12.75">
      <c r="J55" s="89"/>
      <c r="Q55" s="107"/>
    </row>
    <row r="56" spans="10:17" ht="12.75">
      <c r="J56" s="89"/>
      <c r="Q56" s="107"/>
    </row>
    <row r="57" spans="10:17" ht="12.75">
      <c r="J57" s="89"/>
      <c r="Q57" s="107"/>
    </row>
    <row r="58" spans="10:17" ht="12.75">
      <c r="J58" s="89"/>
      <c r="Q58" s="107"/>
    </row>
    <row r="59" spans="10:17" ht="12.75">
      <c r="J59" s="89"/>
      <c r="Q59" s="107"/>
    </row>
    <row r="60" spans="10:17" ht="12.75">
      <c r="J60" s="89"/>
      <c r="Q60" s="107"/>
    </row>
    <row r="61" spans="10:17" ht="12.75">
      <c r="J61" s="89"/>
      <c r="Q61" s="107"/>
    </row>
    <row r="62" spans="10:17" ht="12.75">
      <c r="J62" s="89"/>
      <c r="Q62" s="107"/>
    </row>
    <row r="63" spans="10:17" ht="12.75">
      <c r="J63" s="89"/>
      <c r="Q63" s="107"/>
    </row>
    <row r="64" spans="10:17" ht="12.75">
      <c r="J64" s="89"/>
      <c r="Q64" s="107"/>
    </row>
    <row r="65" spans="10:17" ht="12.75">
      <c r="J65" s="89"/>
      <c r="Q65" s="107"/>
    </row>
    <row r="66" spans="10:17" ht="12.75">
      <c r="J66" s="89"/>
      <c r="Q66" s="107"/>
    </row>
    <row r="67" spans="10:17" ht="12.75">
      <c r="J67" s="89"/>
      <c r="Q67" s="107"/>
    </row>
    <row r="68" spans="10:17" ht="12.75">
      <c r="J68" s="89"/>
      <c r="Q68" s="107"/>
    </row>
    <row r="69" spans="10:17" ht="12.75">
      <c r="J69" s="89"/>
      <c r="Q69" s="107"/>
    </row>
    <row r="70" spans="10:17" ht="12.75">
      <c r="J70" s="89"/>
      <c r="Q70" s="107"/>
    </row>
    <row r="71" spans="10:17" ht="12.75">
      <c r="J71" s="89"/>
      <c r="Q71" s="107"/>
    </row>
    <row r="72" spans="10:17" ht="12.75">
      <c r="J72" s="89"/>
      <c r="Q72" s="107"/>
    </row>
    <row r="73" spans="10:17" ht="12.75">
      <c r="J73" s="89"/>
      <c r="Q73" s="107"/>
    </row>
    <row r="74" spans="10:17" ht="12.75">
      <c r="J74" s="89"/>
      <c r="Q74" s="107"/>
    </row>
    <row r="75" spans="10:17" ht="12.75">
      <c r="J75" s="89"/>
      <c r="Q75" s="107"/>
    </row>
    <row r="76" spans="10:17" ht="12.75">
      <c r="J76" s="89"/>
      <c r="Q76" s="107"/>
    </row>
    <row r="77" spans="10:17" ht="12.75">
      <c r="J77" s="89"/>
      <c r="Q77" s="107"/>
    </row>
    <row r="78" spans="10:17" ht="12.75">
      <c r="J78" s="89"/>
      <c r="Q78" s="107"/>
    </row>
    <row r="79" spans="10:17" ht="12.75">
      <c r="J79" s="89"/>
      <c r="Q79" s="107"/>
    </row>
    <row r="80" spans="10:17" ht="12.75">
      <c r="J80" s="89"/>
      <c r="Q80" s="107"/>
    </row>
    <row r="81" spans="10:17" ht="12.75">
      <c r="J81" s="89"/>
      <c r="Q81" s="107"/>
    </row>
    <row r="82" spans="10:17" ht="12.75">
      <c r="J82" s="89"/>
      <c r="Q82" s="107"/>
    </row>
    <row r="83" spans="10:17" ht="12.75">
      <c r="J83" s="89"/>
      <c r="Q83" s="107"/>
    </row>
    <row r="84" spans="10:17" ht="12.75">
      <c r="J84" s="89"/>
      <c r="Q84" s="107"/>
    </row>
    <row r="85" spans="10:17" ht="12.75">
      <c r="J85" s="89"/>
      <c r="Q85" s="107"/>
    </row>
    <row r="86" spans="10:17" ht="12.75">
      <c r="J86" s="89"/>
      <c r="Q86" s="107"/>
    </row>
    <row r="87" spans="10:17" ht="12.75">
      <c r="J87" s="89"/>
      <c r="Q87" s="107"/>
    </row>
    <row r="88" spans="10:17" ht="12.75">
      <c r="J88" s="89"/>
      <c r="Q88" s="107"/>
    </row>
    <row r="89" spans="10:17" ht="12.75">
      <c r="J89" s="89"/>
      <c r="Q89" s="107"/>
    </row>
    <row r="90" spans="10:17" ht="12.75">
      <c r="J90" s="89"/>
      <c r="Q90" s="107"/>
    </row>
    <row r="91" spans="10:17" ht="12.75">
      <c r="J91" s="89"/>
      <c r="Q91" s="107"/>
    </row>
    <row r="92" spans="10:17" ht="12.75">
      <c r="J92" s="89"/>
      <c r="Q92" s="107"/>
    </row>
    <row r="93" spans="10:17" ht="12.75">
      <c r="J93" s="89"/>
      <c r="Q93" s="107"/>
    </row>
    <row r="94" spans="10:17" ht="12.75">
      <c r="J94" s="89"/>
      <c r="Q94" s="107"/>
    </row>
    <row r="95" spans="10:17" ht="12.75">
      <c r="J95" s="89"/>
      <c r="Q95" s="107"/>
    </row>
    <row r="96" spans="10:17" ht="12.75">
      <c r="J96" s="89"/>
      <c r="Q96" s="107"/>
    </row>
    <row r="97" spans="10:17" ht="12.75">
      <c r="J97" s="89"/>
      <c r="Q97" s="107"/>
    </row>
    <row r="98" spans="10:17" ht="12.75">
      <c r="J98" s="89"/>
      <c r="Q98" s="107"/>
    </row>
    <row r="99" spans="10:17" ht="12.75">
      <c r="J99" s="89"/>
      <c r="Q99" s="107"/>
    </row>
    <row r="100" spans="10:17" ht="12.75">
      <c r="J100" s="89"/>
      <c r="Q100" s="107"/>
    </row>
    <row r="101" spans="10:17" ht="12.75">
      <c r="J101" s="89"/>
      <c r="Q101" s="107"/>
    </row>
    <row r="102" spans="10:17" ht="12.75">
      <c r="J102" s="89"/>
      <c r="Q102" s="107"/>
    </row>
    <row r="103" spans="10:17" ht="12.75">
      <c r="J103" s="89"/>
      <c r="Q103" s="107"/>
    </row>
    <row r="104" spans="10:17" ht="12.75">
      <c r="J104" s="89"/>
      <c r="Q104" s="107"/>
    </row>
    <row r="105" spans="10:17" ht="12.75">
      <c r="J105" s="89"/>
      <c r="Q105" s="107"/>
    </row>
    <row r="106" spans="10:17" ht="12.75">
      <c r="J106" s="89"/>
      <c r="Q106" s="107"/>
    </row>
    <row r="107" spans="10:17" ht="12.75">
      <c r="J107" s="89"/>
      <c r="Q107" s="107"/>
    </row>
    <row r="108" spans="10:17" ht="12.75">
      <c r="J108" s="89"/>
      <c r="Q108" s="107"/>
    </row>
    <row r="109" spans="10:17" ht="12.75">
      <c r="J109" s="89"/>
      <c r="Q109" s="107"/>
    </row>
    <row r="110" spans="10:17" ht="12.75">
      <c r="J110" s="89"/>
      <c r="Q110" s="107"/>
    </row>
    <row r="111" spans="10:17" ht="12.75">
      <c r="J111" s="89"/>
      <c r="Q111" s="107"/>
    </row>
    <row r="112" spans="10:17" ht="12.75">
      <c r="J112" s="89"/>
      <c r="Q112" s="107"/>
    </row>
    <row r="113" spans="10:17" ht="12.75">
      <c r="J113" s="89"/>
      <c r="Q113" s="107"/>
    </row>
    <row r="114" spans="10:17" ht="12.75">
      <c r="J114" s="89"/>
      <c r="Q114" s="107"/>
    </row>
    <row r="115" spans="10:17" ht="12.75">
      <c r="J115" s="89"/>
      <c r="Q115" s="107"/>
    </row>
    <row r="116" spans="10:17" ht="12.75">
      <c r="J116" s="89"/>
      <c r="Q116" s="107"/>
    </row>
    <row r="117" spans="10:17" ht="12.75">
      <c r="J117" s="89"/>
      <c r="Q117" s="107"/>
    </row>
    <row r="118" spans="10:17" ht="12.75">
      <c r="J118" s="89"/>
      <c r="Q118" s="107"/>
    </row>
    <row r="119" spans="10:17" ht="12.75">
      <c r="J119" s="89"/>
      <c r="Q119" s="107"/>
    </row>
    <row r="120" spans="10:17" ht="12.75">
      <c r="J120" s="89"/>
      <c r="Q120" s="107"/>
    </row>
    <row r="121" spans="10:17" ht="12.75">
      <c r="J121" s="89"/>
      <c r="Q121" s="107"/>
    </row>
    <row r="122" spans="10:17" ht="12.75">
      <c r="J122" s="89"/>
      <c r="Q122" s="107"/>
    </row>
    <row r="123" spans="10:17" ht="12.75">
      <c r="J123" s="89"/>
      <c r="Q123" s="107"/>
    </row>
    <row r="124" spans="10:17" ht="12.75">
      <c r="J124" s="89"/>
      <c r="Q124" s="107"/>
    </row>
    <row r="125" spans="10:17" ht="12.75">
      <c r="J125" s="89"/>
      <c r="Q125" s="107"/>
    </row>
    <row r="126" spans="10:17" ht="12.75">
      <c r="J126" s="89"/>
      <c r="Q126" s="107"/>
    </row>
    <row r="127" spans="10:17" ht="12.75">
      <c r="J127" s="89"/>
      <c r="Q127" s="107"/>
    </row>
    <row r="128" spans="10:17" ht="12.75">
      <c r="J128" s="89"/>
      <c r="Q128" s="107"/>
    </row>
    <row r="129" spans="10:17" ht="12.75">
      <c r="J129" s="89"/>
      <c r="Q129" s="107"/>
    </row>
    <row r="130" spans="10:17" ht="12.75">
      <c r="J130" s="89"/>
      <c r="Q130" s="107"/>
    </row>
    <row r="131" spans="10:17" ht="12.75">
      <c r="J131" s="89"/>
      <c r="Q131" s="107"/>
    </row>
    <row r="132" spans="10:17" ht="12.75">
      <c r="J132" s="89"/>
      <c r="Q132" s="107"/>
    </row>
    <row r="133" spans="10:17" ht="12.75">
      <c r="J133" s="89"/>
      <c r="Q133" s="107"/>
    </row>
    <row r="134" spans="10:17" ht="12.75">
      <c r="J134" s="89"/>
      <c r="Q134" s="107"/>
    </row>
    <row r="135" spans="10:17" ht="12.75">
      <c r="J135" s="89"/>
      <c r="Q135" s="107"/>
    </row>
    <row r="136" spans="10:17" ht="12.75">
      <c r="J136" s="89"/>
      <c r="Q136" s="107"/>
    </row>
    <row r="137" spans="10:17" ht="12.75">
      <c r="J137" s="89"/>
      <c r="Q137" s="107"/>
    </row>
    <row r="138" spans="10:17" ht="12.75">
      <c r="J138" s="89"/>
      <c r="Q138" s="107"/>
    </row>
    <row r="139" spans="10:17" ht="12.75">
      <c r="J139" s="89"/>
      <c r="Q139" s="107"/>
    </row>
    <row r="140" spans="10:17" ht="12.75">
      <c r="J140" s="89"/>
      <c r="Q140" s="107"/>
    </row>
    <row r="141" spans="10:17" ht="12.75">
      <c r="J141" s="89"/>
      <c r="Q141" s="107"/>
    </row>
    <row r="142" spans="10:17" ht="12.75">
      <c r="J142" s="89"/>
      <c r="Q142" s="107"/>
    </row>
    <row r="143" spans="10:17" ht="12.75">
      <c r="J143" s="89"/>
      <c r="Q143" s="107"/>
    </row>
    <row r="144" spans="10:17" ht="12.75">
      <c r="J144" s="89"/>
      <c r="Q144" s="107"/>
    </row>
    <row r="145" spans="10:17" ht="12.75">
      <c r="J145" s="89"/>
      <c r="Q145" s="107"/>
    </row>
    <row r="146" spans="10:17" ht="12.75">
      <c r="J146" s="89"/>
      <c r="Q146" s="107"/>
    </row>
    <row r="147" spans="10:17" ht="12.75">
      <c r="J147" s="89"/>
      <c r="Q147" s="107"/>
    </row>
    <row r="148" spans="10:17" ht="12.75">
      <c r="J148" s="89"/>
      <c r="Q148" s="107"/>
    </row>
    <row r="149" spans="10:17" ht="12.75">
      <c r="J149" s="89"/>
      <c r="Q149" s="107"/>
    </row>
    <row r="150" spans="10:17" ht="12.75">
      <c r="J150" s="89"/>
      <c r="Q150" s="107"/>
    </row>
    <row r="151" spans="10:17" ht="12.75">
      <c r="J151" s="89"/>
      <c r="Q151" s="107"/>
    </row>
    <row r="152" spans="10:17" ht="12.75">
      <c r="J152" s="89"/>
      <c r="Q152" s="107"/>
    </row>
    <row r="153" spans="10:17" ht="12.75">
      <c r="J153" s="89"/>
      <c r="Q153" s="107"/>
    </row>
    <row r="154" spans="10:17" ht="12.75">
      <c r="J154" s="89"/>
      <c r="Q154" s="107"/>
    </row>
    <row r="155" spans="10:17" ht="12.75">
      <c r="J155" s="89"/>
      <c r="Q155" s="107"/>
    </row>
    <row r="156" spans="10:17" ht="12.75">
      <c r="J156" s="89"/>
      <c r="Q156" s="107"/>
    </row>
    <row r="157" spans="10:17" ht="12.75">
      <c r="J157" s="89"/>
      <c r="Q157" s="107"/>
    </row>
    <row r="158" spans="10:17" ht="12.75">
      <c r="J158" s="89"/>
      <c r="Q158" s="107"/>
    </row>
    <row r="159" spans="10:17" ht="12.75">
      <c r="J159" s="89"/>
      <c r="Q159" s="107"/>
    </row>
    <row r="160" spans="10:17" ht="12.75">
      <c r="J160" s="89"/>
      <c r="Q160" s="107"/>
    </row>
    <row r="161" spans="10:17" ht="12.75">
      <c r="J161" s="89"/>
      <c r="Q161" s="107"/>
    </row>
    <row r="162" spans="10:17" ht="12.75">
      <c r="J162" s="89"/>
      <c r="Q162" s="107"/>
    </row>
    <row r="163" spans="10:17" ht="12.75">
      <c r="J163" s="89"/>
      <c r="Q163" s="107"/>
    </row>
    <row r="164" spans="10:17" ht="12.75">
      <c r="J164" s="89"/>
      <c r="Q164" s="107"/>
    </row>
    <row r="165" spans="10:17" ht="12.75">
      <c r="J165" s="89"/>
      <c r="Q165" s="107"/>
    </row>
    <row r="166" spans="10:17" ht="12.75">
      <c r="J166" s="89"/>
      <c r="Q166" s="107"/>
    </row>
    <row r="167" spans="10:17" ht="12.75">
      <c r="J167" s="89"/>
      <c r="Q167" s="107"/>
    </row>
    <row r="168" spans="10:17" ht="12.75">
      <c r="J168" s="89"/>
      <c r="Q168" s="107"/>
    </row>
    <row r="169" spans="10:17" ht="12.75">
      <c r="J169" s="89"/>
      <c r="Q169" s="107"/>
    </row>
    <row r="170" spans="10:17" ht="12.75">
      <c r="J170" s="89"/>
      <c r="Q170" s="107"/>
    </row>
    <row r="171" spans="10:17" ht="12.75">
      <c r="J171" s="89"/>
      <c r="Q171" s="107"/>
    </row>
    <row r="172" spans="10:17" ht="12.75">
      <c r="J172" s="89"/>
      <c r="Q172" s="107"/>
    </row>
    <row r="173" spans="10:17" ht="12.75">
      <c r="J173" s="89"/>
      <c r="Q173" s="107"/>
    </row>
    <row r="174" spans="10:17" ht="12.75">
      <c r="J174" s="89"/>
      <c r="Q174" s="107"/>
    </row>
    <row r="175" spans="10:17" ht="12.75">
      <c r="J175" s="89"/>
      <c r="Q175" s="107"/>
    </row>
    <row r="176" spans="10:17" ht="12.75">
      <c r="J176" s="89"/>
      <c r="Q176" s="107"/>
    </row>
    <row r="177" spans="10:17" ht="12.75">
      <c r="J177" s="89"/>
      <c r="Q177" s="107"/>
    </row>
    <row r="178" spans="10:17" ht="12.75">
      <c r="J178" s="89"/>
      <c r="Q178" s="107"/>
    </row>
    <row r="179" spans="10:17" ht="12.75">
      <c r="J179" s="89"/>
      <c r="Q179" s="107"/>
    </row>
    <row r="180" spans="10:17" ht="12.75">
      <c r="J180" s="89"/>
      <c r="Q180" s="107"/>
    </row>
    <row r="181" spans="10:17" ht="12.75">
      <c r="J181" s="89"/>
      <c r="Q181" s="107"/>
    </row>
    <row r="182" spans="10:17" ht="12.75">
      <c r="J182" s="89"/>
      <c r="Q182" s="107"/>
    </row>
    <row r="183" spans="10:17" ht="12.75">
      <c r="J183" s="89"/>
      <c r="Q183" s="107"/>
    </row>
    <row r="184" spans="10:17" ht="12.75">
      <c r="J184" s="89"/>
      <c r="Q184" s="107"/>
    </row>
    <row r="185" spans="10:17" ht="12.75">
      <c r="J185" s="89"/>
      <c r="Q185" s="107"/>
    </row>
    <row r="186" spans="10:17" ht="12.75">
      <c r="J186" s="89"/>
      <c r="Q186" s="107"/>
    </row>
    <row r="187" spans="10:17" ht="12.75">
      <c r="J187" s="89"/>
      <c r="Q187" s="107"/>
    </row>
    <row r="188" spans="10:17" ht="12.75">
      <c r="J188" s="89"/>
      <c r="Q188" s="107"/>
    </row>
    <row r="189" spans="10:17" ht="12.75">
      <c r="J189" s="89"/>
      <c r="Q189" s="107"/>
    </row>
    <row r="190" spans="10:17" ht="12.75">
      <c r="J190" s="89"/>
      <c r="Q190" s="107"/>
    </row>
    <row r="191" spans="10:17" ht="12.75">
      <c r="J191" s="89"/>
      <c r="Q191" s="107"/>
    </row>
    <row r="192" spans="10:17" ht="12.75">
      <c r="J192" s="89"/>
      <c r="Q192" s="107"/>
    </row>
    <row r="193" spans="10:17" ht="12.75">
      <c r="J193" s="89"/>
      <c r="Q193" s="107"/>
    </row>
    <row r="194" spans="10:17" ht="12.75">
      <c r="J194" s="89"/>
      <c r="Q194" s="107"/>
    </row>
    <row r="195" spans="10:17" ht="12.75">
      <c r="J195" s="89"/>
      <c r="Q195" s="107"/>
    </row>
    <row r="196" spans="10:17" ht="12.75">
      <c r="J196" s="89"/>
      <c r="Q196" s="107"/>
    </row>
    <row r="197" spans="10:17" ht="12.75">
      <c r="J197" s="89"/>
      <c r="Q197" s="107"/>
    </row>
    <row r="198" spans="10:17" ht="12.75">
      <c r="J198" s="89"/>
      <c r="Q198" s="107"/>
    </row>
    <row r="199" spans="10:17" ht="12.75">
      <c r="J199" s="89"/>
      <c r="Q199" s="107"/>
    </row>
    <row r="200" spans="10:17" ht="12.75">
      <c r="J200" s="89"/>
      <c r="Q200" s="107"/>
    </row>
    <row r="201" spans="10:17" ht="12.75">
      <c r="J201" s="89"/>
      <c r="Q201" s="107"/>
    </row>
    <row r="202" spans="10:17" ht="12.75">
      <c r="J202" s="89"/>
      <c r="Q202" s="107"/>
    </row>
    <row r="203" spans="10:17" ht="12.75">
      <c r="J203" s="89"/>
      <c r="Q203" s="107"/>
    </row>
    <row r="204" spans="10:17" ht="12.75">
      <c r="J204" s="89"/>
      <c r="Q204" s="107"/>
    </row>
    <row r="205" spans="10:17" ht="12.75">
      <c r="J205" s="89"/>
      <c r="Q205" s="107"/>
    </row>
    <row r="206" spans="10:17" ht="12.75">
      <c r="J206" s="89"/>
      <c r="Q206" s="107"/>
    </row>
    <row r="207" spans="10:17" ht="12.75">
      <c r="J207" s="89"/>
      <c r="Q207" s="107"/>
    </row>
    <row r="208" spans="10:17" ht="12.75">
      <c r="J208" s="89"/>
      <c r="Q208" s="107"/>
    </row>
    <row r="209" spans="10:17" ht="12.75">
      <c r="J209" s="89"/>
      <c r="Q209" s="107"/>
    </row>
    <row r="210" spans="10:17" ht="12.75">
      <c r="J210" s="89"/>
      <c r="Q210" s="107"/>
    </row>
    <row r="211" spans="10:17" ht="12.75">
      <c r="J211" s="89"/>
      <c r="Q211" s="107"/>
    </row>
    <row r="212" spans="10:17" ht="12.75">
      <c r="J212" s="89"/>
      <c r="Q212" s="107"/>
    </row>
    <row r="213" spans="10:17" ht="12.75">
      <c r="J213" s="89"/>
      <c r="Q213" s="107"/>
    </row>
    <row r="214" spans="10:17" ht="12.75">
      <c r="J214" s="89"/>
      <c r="Q214" s="107"/>
    </row>
    <row r="215" spans="10:17" ht="12.75">
      <c r="J215" s="89"/>
      <c r="Q215" s="107"/>
    </row>
    <row r="216" spans="10:17" ht="12.75">
      <c r="J216" s="89"/>
      <c r="Q216" s="107"/>
    </row>
    <row r="217" spans="10:17" ht="12.75">
      <c r="J217" s="89"/>
      <c r="Q217" s="107"/>
    </row>
    <row r="218" spans="10:17" ht="12.75">
      <c r="J218" s="89"/>
      <c r="Q218" s="107"/>
    </row>
    <row r="219" spans="10:17" ht="12.75">
      <c r="J219" s="89"/>
      <c r="Q219" s="107"/>
    </row>
    <row r="220" spans="10:17" ht="12.75">
      <c r="J220" s="89"/>
      <c r="Q220" s="107"/>
    </row>
    <row r="221" spans="10:17" ht="12.75">
      <c r="J221" s="89"/>
      <c r="Q221" s="107"/>
    </row>
    <row r="222" spans="10:17" ht="12.75">
      <c r="J222" s="89"/>
      <c r="Q222" s="107"/>
    </row>
    <row r="223" spans="10:17" ht="12.75">
      <c r="J223" s="89"/>
      <c r="Q223" s="107"/>
    </row>
    <row r="224" spans="10:17" ht="12.75">
      <c r="J224" s="89"/>
      <c r="Q224" s="107"/>
    </row>
    <row r="225" spans="10:17" ht="12.75">
      <c r="J225" s="89"/>
      <c r="Q225" s="107"/>
    </row>
    <row r="226" spans="10:17" ht="12.75">
      <c r="J226" s="89"/>
      <c r="Q226" s="107"/>
    </row>
    <row r="227" spans="10:17" ht="12.75">
      <c r="J227" s="89"/>
      <c r="Q227" s="107"/>
    </row>
    <row r="228" spans="10:17" ht="12.75">
      <c r="J228" s="89"/>
      <c r="Q228" s="107"/>
    </row>
    <row r="229" spans="10:17" ht="12.75">
      <c r="J229" s="89"/>
      <c r="Q229" s="107"/>
    </row>
    <row r="230" spans="10:17" ht="12.75">
      <c r="J230" s="89"/>
      <c r="Q230" s="107"/>
    </row>
    <row r="231" spans="10:17" ht="12.75">
      <c r="J231" s="89"/>
      <c r="Q231" s="107"/>
    </row>
    <row r="232" spans="10:17" ht="12.75">
      <c r="J232" s="89"/>
      <c r="Q232" s="107"/>
    </row>
    <row r="233" spans="10:17" ht="12.75">
      <c r="J233" s="89"/>
      <c r="Q233" s="107"/>
    </row>
    <row r="234" spans="10:17" ht="12.75">
      <c r="J234" s="89"/>
      <c r="Q234" s="107"/>
    </row>
    <row r="235" spans="10:17" ht="12.75">
      <c r="J235" s="89"/>
      <c r="Q235" s="107"/>
    </row>
    <row r="236" spans="10:17" ht="12.75">
      <c r="J236" s="89"/>
      <c r="Q236" s="107"/>
    </row>
    <row r="237" spans="10:17" ht="12.75">
      <c r="J237" s="89"/>
      <c r="Q237" s="107"/>
    </row>
    <row r="238" spans="10:17" ht="12.75">
      <c r="J238" s="89"/>
      <c r="Q238" s="107"/>
    </row>
    <row r="239" spans="10:17" ht="12.75">
      <c r="J239" s="89"/>
      <c r="Q239" s="107"/>
    </row>
    <row r="240" spans="10:17" ht="12.75">
      <c r="J240" s="89"/>
      <c r="Q240" s="107"/>
    </row>
    <row r="241" spans="10:17" ht="12.75">
      <c r="J241" s="89"/>
      <c r="Q241" s="107"/>
    </row>
    <row r="242" spans="10:17" ht="12.75">
      <c r="J242" s="89"/>
      <c r="Q242" s="107"/>
    </row>
    <row r="243" spans="10:17" ht="12.75">
      <c r="J243" s="89"/>
      <c r="Q243" s="107"/>
    </row>
    <row r="244" spans="10:17" ht="12.75">
      <c r="J244" s="89"/>
      <c r="Q244" s="107"/>
    </row>
    <row r="245" spans="10:17" ht="12.75">
      <c r="J245" s="89"/>
      <c r="Q245" s="107"/>
    </row>
    <row r="246" spans="10:17" ht="12.75">
      <c r="J246" s="89"/>
      <c r="Q246" s="107"/>
    </row>
    <row r="247" spans="10:17" ht="12.75">
      <c r="J247" s="89"/>
      <c r="Q247" s="107"/>
    </row>
    <row r="248" spans="10:17" ht="12.75">
      <c r="J248" s="89"/>
      <c r="Q248" s="107"/>
    </row>
    <row r="249" spans="10:17" ht="12.75">
      <c r="J249" s="89"/>
      <c r="Q249" s="107"/>
    </row>
    <row r="250" spans="10:17" ht="12.75">
      <c r="J250" s="89"/>
      <c r="Q250" s="107"/>
    </row>
    <row r="251" spans="10:17" ht="12.75">
      <c r="J251" s="89"/>
      <c r="Q251" s="107"/>
    </row>
    <row r="252" spans="10:17" ht="12.75">
      <c r="J252" s="89"/>
      <c r="Q252" s="107"/>
    </row>
    <row r="253" spans="10:17" ht="12.75">
      <c r="J253" s="89"/>
      <c r="Q253" s="107"/>
    </row>
    <row r="254" spans="10:17" ht="12.75">
      <c r="J254" s="89"/>
      <c r="Q254" s="107"/>
    </row>
    <row r="255" spans="10:17" ht="12.75">
      <c r="J255" s="89"/>
      <c r="Q255" s="107"/>
    </row>
    <row r="256" spans="10:17" ht="12.75">
      <c r="J256" s="89"/>
      <c r="Q256" s="107"/>
    </row>
    <row r="257" spans="10:17" ht="12.75">
      <c r="J257" s="89"/>
      <c r="Q257" s="107"/>
    </row>
    <row r="258" spans="10:17" ht="12.75">
      <c r="J258" s="89"/>
      <c r="Q258" s="107"/>
    </row>
    <row r="259" spans="10:17" ht="12.75">
      <c r="J259" s="89"/>
      <c r="Q259" s="107"/>
    </row>
    <row r="260" spans="10:17" ht="12.75">
      <c r="J260" s="89"/>
      <c r="Q260" s="107"/>
    </row>
    <row r="261" spans="10:17" ht="12.75">
      <c r="J261" s="89"/>
      <c r="Q261" s="107"/>
    </row>
    <row r="262" spans="10:17" ht="12.75">
      <c r="J262" s="89"/>
      <c r="Q262" s="107"/>
    </row>
    <row r="263" spans="10:17" ht="12.75">
      <c r="J263" s="89"/>
      <c r="Q263" s="107"/>
    </row>
    <row r="264" spans="10:17" ht="12.75">
      <c r="J264" s="89"/>
      <c r="Q264" s="107"/>
    </row>
    <row r="265" spans="10:17" ht="12.75">
      <c r="J265" s="89"/>
      <c r="Q265" s="107"/>
    </row>
    <row r="266" spans="10:17" ht="12.75">
      <c r="J266" s="89"/>
      <c r="Q266" s="107"/>
    </row>
    <row r="267" spans="10:17" ht="12.75">
      <c r="J267" s="89"/>
      <c r="Q267" s="107"/>
    </row>
    <row r="268" spans="10:17" ht="12.75">
      <c r="J268" s="89"/>
      <c r="Q268" s="107"/>
    </row>
    <row r="269" spans="10:17" ht="12.75">
      <c r="J269" s="89"/>
      <c r="Q269" s="107"/>
    </row>
    <row r="270" spans="10:17" ht="12.75">
      <c r="J270" s="89"/>
      <c r="Q270" s="107"/>
    </row>
    <row r="271" spans="10:17" ht="12.75">
      <c r="J271" s="89"/>
      <c r="Q271" s="107"/>
    </row>
    <row r="272" spans="10:17" ht="12.75">
      <c r="J272" s="89"/>
      <c r="Q272" s="107"/>
    </row>
    <row r="273" spans="10:17" ht="12.75">
      <c r="J273" s="89"/>
      <c r="Q273" s="107"/>
    </row>
    <row r="274" spans="10:17" ht="12.75">
      <c r="J274" s="89"/>
      <c r="Q274" s="107"/>
    </row>
    <row r="275" spans="10:17" ht="12.75">
      <c r="J275" s="89"/>
      <c r="Q275" s="107"/>
    </row>
    <row r="276" spans="10:17" ht="12.75">
      <c r="J276" s="89"/>
      <c r="Q276" s="107"/>
    </row>
    <row r="277" spans="10:17" ht="12.75">
      <c r="J277" s="89"/>
      <c r="Q277" s="107"/>
    </row>
    <row r="278" spans="10:17" ht="12.75">
      <c r="J278" s="89"/>
      <c r="Q278" s="107"/>
    </row>
    <row r="279" spans="10:17" ht="12.75">
      <c r="J279" s="89"/>
      <c r="Q279" s="107"/>
    </row>
    <row r="280" spans="10:17" ht="12.75">
      <c r="J280" s="89"/>
      <c r="Q280" s="107"/>
    </row>
    <row r="281" spans="10:17" ht="12.75">
      <c r="J281" s="89"/>
      <c r="Q281" s="107"/>
    </row>
    <row r="282" spans="10:17" ht="12.75">
      <c r="J282" s="89"/>
      <c r="Q282" s="107"/>
    </row>
    <row r="283" spans="10:17" ht="12.75">
      <c r="J283" s="89"/>
      <c r="Q283" s="107"/>
    </row>
    <row r="284" spans="10:17" ht="12.75">
      <c r="J284" s="89"/>
      <c r="Q284" s="107"/>
    </row>
    <row r="285" spans="10:17" ht="12.75">
      <c r="J285" s="89"/>
      <c r="Q285" s="107"/>
    </row>
    <row r="286" spans="10:17" ht="12.75">
      <c r="J286" s="89"/>
      <c r="Q286" s="107"/>
    </row>
    <row r="287" spans="10:17" ht="12.75">
      <c r="J287" s="89"/>
      <c r="Q287" s="107"/>
    </row>
    <row r="288" spans="10:17" ht="12.75">
      <c r="J288" s="89"/>
      <c r="Q288" s="107"/>
    </row>
    <row r="289" spans="10:17" ht="12.75">
      <c r="J289" s="89"/>
      <c r="Q289" s="107"/>
    </row>
    <row r="290" spans="10:17" ht="12.75">
      <c r="J290" s="89"/>
      <c r="Q290" s="107"/>
    </row>
    <row r="291" spans="10:17" ht="12.75">
      <c r="J291" s="89"/>
      <c r="Q291" s="107"/>
    </row>
    <row r="292" spans="10:17" ht="12.75">
      <c r="J292" s="89"/>
      <c r="Q292" s="107"/>
    </row>
    <row r="293" spans="10:17" ht="12.75">
      <c r="J293" s="89"/>
      <c r="Q293" s="107"/>
    </row>
    <row r="294" spans="10:17" ht="12.75">
      <c r="J294" s="89"/>
      <c r="Q294" s="107"/>
    </row>
    <row r="295" spans="10:17" ht="12.75">
      <c r="J295" s="89"/>
      <c r="Q295" s="107"/>
    </row>
    <row r="296" spans="10:17" ht="12.75">
      <c r="J296" s="89"/>
      <c r="Q296" s="107"/>
    </row>
    <row r="297" spans="10:17" ht="12.75">
      <c r="J297" s="89"/>
      <c r="Q297" s="107"/>
    </row>
    <row r="298" spans="10:17" ht="12.75">
      <c r="J298" s="89"/>
      <c r="Q298" s="107"/>
    </row>
    <row r="299" spans="10:17" ht="12.75">
      <c r="J299" s="89"/>
      <c r="Q299" s="107"/>
    </row>
    <row r="300" spans="10:17" ht="12.75">
      <c r="J300" s="89"/>
      <c r="Q300" s="107"/>
    </row>
    <row r="301" spans="10:17" ht="12.75">
      <c r="J301" s="89"/>
      <c r="Q301" s="107"/>
    </row>
    <row r="302" spans="10:17" ht="12.75">
      <c r="J302" s="89"/>
      <c r="Q302" s="107"/>
    </row>
    <row r="303" spans="10:17" ht="12.75">
      <c r="J303" s="89"/>
      <c r="Q303" s="107"/>
    </row>
    <row r="304" spans="10:17" ht="12.75">
      <c r="J304" s="89"/>
      <c r="Q304" s="107"/>
    </row>
    <row r="305" spans="10:17" ht="12.75">
      <c r="J305" s="89"/>
      <c r="Q305" s="107"/>
    </row>
    <row r="306" spans="10:17" ht="12.75">
      <c r="J306" s="89"/>
      <c r="Q306" s="107"/>
    </row>
    <row r="307" spans="10:17" ht="12.75">
      <c r="J307" s="89"/>
      <c r="Q307" s="107"/>
    </row>
    <row r="308" spans="10:17" ht="12.75">
      <c r="J308" s="89"/>
      <c r="Q308" s="107"/>
    </row>
    <row r="309" spans="10:17" ht="12.75">
      <c r="J309" s="89"/>
      <c r="Q309" s="107"/>
    </row>
    <row r="310" spans="10:17" ht="12.75">
      <c r="J310" s="89"/>
      <c r="Q310" s="107"/>
    </row>
    <row r="311" spans="10:17" ht="12.75">
      <c r="J311" s="89"/>
      <c r="Q311" s="107"/>
    </row>
    <row r="312" spans="10:17" ht="12.75">
      <c r="J312" s="89"/>
      <c r="Q312" s="107"/>
    </row>
    <row r="313" spans="10:17" ht="12.75">
      <c r="J313" s="89"/>
      <c r="Q313" s="107"/>
    </row>
    <row r="314" spans="10:17" ht="12.75">
      <c r="J314" s="89"/>
      <c r="Q314" s="107"/>
    </row>
    <row r="315" spans="10:17" ht="12.75">
      <c r="J315" s="89"/>
      <c r="Q315" s="107"/>
    </row>
    <row r="316" spans="10:17" ht="12.75">
      <c r="J316" s="89"/>
      <c r="Q316" s="107"/>
    </row>
    <row r="317" spans="10:17" ht="12.75">
      <c r="J317" s="89"/>
      <c r="Q317" s="107"/>
    </row>
    <row r="318" spans="10:17" ht="12.75">
      <c r="J318" s="89"/>
      <c r="Q318" s="107"/>
    </row>
    <row r="319" spans="10:17" ht="12.75">
      <c r="J319" s="89"/>
      <c r="Q319" s="107"/>
    </row>
    <row r="320" spans="10:17" ht="12.75">
      <c r="J320" s="89"/>
      <c r="Q320" s="107"/>
    </row>
    <row r="321" spans="10:17" ht="12.75">
      <c r="J321" s="89"/>
      <c r="Q321" s="107"/>
    </row>
    <row r="322" spans="10:17" ht="12.75">
      <c r="J322" s="89"/>
      <c r="Q322" s="107"/>
    </row>
    <row r="323" spans="10:17" ht="12.75">
      <c r="J323" s="89"/>
      <c r="Q323" s="107"/>
    </row>
    <row r="324" spans="10:17" ht="12.75">
      <c r="J324" s="89"/>
      <c r="Q324" s="107"/>
    </row>
    <row r="325" spans="10:17" ht="12.75">
      <c r="J325" s="89"/>
      <c r="Q325" s="107"/>
    </row>
    <row r="326" spans="10:17" ht="12.75">
      <c r="J326" s="89"/>
      <c r="Q326" s="107"/>
    </row>
    <row r="327" spans="10:17" ht="12.75">
      <c r="J327" s="89"/>
      <c r="Q327" s="107"/>
    </row>
    <row r="328" spans="10:17" ht="12.75">
      <c r="J328" s="89"/>
      <c r="Q328" s="107"/>
    </row>
    <row r="329" spans="10:17" ht="12.75">
      <c r="J329" s="89"/>
      <c r="Q329" s="107"/>
    </row>
    <row r="330" spans="10:17" ht="12.75">
      <c r="J330" s="89"/>
      <c r="Q330" s="107"/>
    </row>
    <row r="331" spans="10:17" ht="12.75">
      <c r="J331" s="89"/>
      <c r="Q331" s="107"/>
    </row>
    <row r="332" spans="10:17" ht="12.75">
      <c r="J332" s="89"/>
      <c r="Q332" s="107"/>
    </row>
    <row r="333" spans="10:17" ht="12.75">
      <c r="J333" s="89"/>
      <c r="Q333" s="107"/>
    </row>
    <row r="334" spans="10:17" ht="12.75">
      <c r="J334" s="89"/>
      <c r="Q334" s="107"/>
    </row>
    <row r="335" spans="10:17" ht="12.75">
      <c r="J335" s="89"/>
      <c r="Q335" s="107"/>
    </row>
    <row r="336" spans="10:17" ht="12.75">
      <c r="J336" s="89"/>
      <c r="Q336" s="107"/>
    </row>
    <row r="337" spans="10:17" ht="12.75">
      <c r="J337" s="89"/>
      <c r="Q337" s="107"/>
    </row>
    <row r="338" spans="10:17" ht="12.75">
      <c r="J338" s="89"/>
      <c r="Q338" s="107"/>
    </row>
    <row r="339" spans="10:17" ht="12.75">
      <c r="J339" s="89"/>
      <c r="Q339" s="107"/>
    </row>
    <row r="340" spans="10:17" ht="12.75">
      <c r="J340" s="89"/>
      <c r="Q340" s="107"/>
    </row>
    <row r="341" spans="10:17" ht="12.75">
      <c r="J341" s="89"/>
      <c r="Q341" s="107"/>
    </row>
    <row r="342" spans="10:17" ht="12.75">
      <c r="J342" s="89"/>
      <c r="Q342" s="107"/>
    </row>
    <row r="343" spans="10:17" ht="12.75">
      <c r="J343" s="89"/>
      <c r="Q343" s="107"/>
    </row>
    <row r="344" spans="10:17" ht="12.75">
      <c r="J344" s="89"/>
      <c r="Q344" s="107"/>
    </row>
    <row r="345" spans="10:17" ht="12.75">
      <c r="J345" s="89"/>
      <c r="Q345" s="107"/>
    </row>
    <row r="346" spans="10:17" ht="12.75">
      <c r="J346" s="89"/>
      <c r="Q346" s="107"/>
    </row>
    <row r="347" spans="10:17" ht="12.75">
      <c r="J347" s="89"/>
      <c r="Q347" s="107"/>
    </row>
    <row r="348" spans="10:17" ht="12.75">
      <c r="J348" s="89"/>
      <c r="Q348" s="107"/>
    </row>
    <row r="349" spans="10:17" ht="12.75">
      <c r="J349" s="89"/>
      <c r="Q349" s="107"/>
    </row>
    <row r="350" spans="10:17" ht="12.75">
      <c r="J350" s="89"/>
      <c r="Q350" s="107"/>
    </row>
    <row r="351" spans="10:17" ht="12.75">
      <c r="J351" s="89"/>
      <c r="Q351" s="107"/>
    </row>
    <row r="352" spans="10:17" ht="12.75">
      <c r="J352" s="89"/>
      <c r="Q352" s="107"/>
    </row>
    <row r="353" spans="10:17" ht="12.75">
      <c r="J353" s="89"/>
      <c r="Q353" s="107"/>
    </row>
    <row r="354" spans="10:17" ht="12.75">
      <c r="J354" s="89"/>
      <c r="Q354" s="107"/>
    </row>
    <row r="355" spans="10:17" ht="12.75">
      <c r="J355" s="89"/>
      <c r="Q355" s="107"/>
    </row>
    <row r="356" spans="10:17" ht="12.75">
      <c r="J356" s="89"/>
      <c r="Q356" s="107"/>
    </row>
    <row r="357" spans="10:17" ht="12.75">
      <c r="J357" s="89"/>
      <c r="Q357" s="107"/>
    </row>
    <row r="358" spans="10:17" ht="12.75">
      <c r="J358" s="89"/>
      <c r="Q358" s="107"/>
    </row>
    <row r="359" spans="10:17" ht="12.75">
      <c r="J359" s="89"/>
      <c r="Q359" s="107"/>
    </row>
    <row r="360" spans="10:17" ht="12.75">
      <c r="J360" s="89"/>
      <c r="Q360" s="107"/>
    </row>
    <row r="361" spans="10:17" ht="12.75">
      <c r="J361" s="89"/>
      <c r="Q361" s="107"/>
    </row>
    <row r="362" spans="10:17" ht="12.75">
      <c r="J362" s="89"/>
      <c r="Q362" s="107"/>
    </row>
    <row r="363" spans="10:17" ht="12.75">
      <c r="J363" s="89"/>
      <c r="Q363" s="107"/>
    </row>
    <row r="364" spans="10:17" ht="12.75">
      <c r="J364" s="89"/>
      <c r="Q364" s="107"/>
    </row>
    <row r="365" spans="10:17" ht="12.75">
      <c r="J365" s="89"/>
      <c r="Q365" s="107"/>
    </row>
    <row r="366" spans="10:17" ht="12.75">
      <c r="J366" s="89"/>
      <c r="Q366" s="107"/>
    </row>
    <row r="367" spans="10:17" ht="12.75">
      <c r="J367" s="89"/>
      <c r="Q367" s="107"/>
    </row>
    <row r="368" spans="10:17" ht="12.75">
      <c r="J368" s="89"/>
      <c r="Q368" s="107"/>
    </row>
    <row r="369" spans="10:17" ht="12.75">
      <c r="J369" s="89"/>
      <c r="Q369" s="107"/>
    </row>
    <row r="370" spans="10:17" ht="12.75">
      <c r="J370" s="89"/>
      <c r="Q370" s="107"/>
    </row>
    <row r="371" spans="10:17" ht="12.75">
      <c r="J371" s="89"/>
      <c r="Q371" s="107"/>
    </row>
    <row r="372" spans="10:17" ht="12.75">
      <c r="J372" s="89"/>
      <c r="Q372" s="107"/>
    </row>
    <row r="373" spans="10:17" ht="12.75">
      <c r="J373" s="89"/>
      <c r="Q373" s="107"/>
    </row>
    <row r="374" spans="10:17" ht="12.75">
      <c r="J374" s="89"/>
      <c r="Q374" s="107"/>
    </row>
    <row r="375" spans="10:17" ht="12.75">
      <c r="J375" s="89"/>
      <c r="Q375" s="107"/>
    </row>
    <row r="376" spans="10:17" ht="12.75">
      <c r="J376" s="89"/>
      <c r="Q376" s="107"/>
    </row>
    <row r="377" spans="10:17" ht="12.75">
      <c r="J377" s="89"/>
      <c r="Q377" s="107"/>
    </row>
    <row r="378" spans="10:17" ht="12.75">
      <c r="J378" s="89"/>
      <c r="Q378" s="107"/>
    </row>
    <row r="379" spans="10:17" ht="12.75">
      <c r="J379" s="89"/>
      <c r="Q379" s="107"/>
    </row>
    <row r="380" spans="10:17" ht="12.75">
      <c r="J380" s="89"/>
      <c r="Q380" s="107"/>
    </row>
    <row r="381" spans="10:17" ht="12.75">
      <c r="J381" s="89"/>
      <c r="Q381" s="107"/>
    </row>
    <row r="382" spans="10:17" ht="12.75">
      <c r="J382" s="89"/>
      <c r="Q382" s="107"/>
    </row>
    <row r="383" spans="10:17" ht="12.75">
      <c r="J383" s="89"/>
      <c r="Q383" s="107"/>
    </row>
    <row r="384" spans="10:17" ht="12.75">
      <c r="J384" s="89"/>
      <c r="Q384" s="107"/>
    </row>
    <row r="385" spans="10:17" ht="12.75">
      <c r="J385" s="89"/>
      <c r="Q385" s="107"/>
    </row>
    <row r="386" spans="10:17" ht="12.75">
      <c r="J386" s="89"/>
      <c r="Q386" s="107"/>
    </row>
    <row r="387" spans="10:17" ht="12.75">
      <c r="J387" s="89"/>
      <c r="Q387" s="107"/>
    </row>
    <row r="388" spans="10:17" ht="12.75">
      <c r="J388" s="89"/>
      <c r="Q388" s="107"/>
    </row>
    <row r="389" spans="10:17" ht="12.75">
      <c r="J389" s="89"/>
      <c r="Q389" s="107"/>
    </row>
    <row r="390" spans="10:17" ht="12.75">
      <c r="J390" s="89"/>
      <c r="Q390" s="107"/>
    </row>
    <row r="391" spans="10:17" ht="12.75">
      <c r="J391" s="89"/>
      <c r="Q391" s="107"/>
    </row>
    <row r="392" spans="10:17" ht="12.75">
      <c r="J392" s="89"/>
      <c r="Q392" s="107"/>
    </row>
    <row r="393" spans="10:17" ht="12.75">
      <c r="J393" s="89"/>
      <c r="Q393" s="107"/>
    </row>
    <row r="394" spans="10:17" ht="12.75">
      <c r="J394" s="89"/>
      <c r="Q394" s="107"/>
    </row>
    <row r="395" spans="10:17" ht="12.75">
      <c r="J395" s="89"/>
      <c r="Q395" s="107"/>
    </row>
    <row r="396" spans="10:17" ht="12.75">
      <c r="J396" s="89"/>
      <c r="Q396" s="107"/>
    </row>
    <row r="397" spans="10:17" ht="12.75">
      <c r="J397" s="89"/>
      <c r="Q397" s="107"/>
    </row>
    <row r="398" spans="10:17" ht="12.75">
      <c r="J398" s="89"/>
      <c r="Q398" s="107"/>
    </row>
    <row r="399" spans="10:17" ht="12.75">
      <c r="J399" s="89"/>
      <c r="Q399" s="107"/>
    </row>
    <row r="400" spans="10:17" ht="12.75">
      <c r="J400" s="89"/>
      <c r="Q400" s="107"/>
    </row>
    <row r="401" spans="10:17" ht="12.75">
      <c r="J401" s="89"/>
      <c r="Q401" s="107"/>
    </row>
    <row r="402" spans="10:17" ht="12.75">
      <c r="J402" s="89"/>
      <c r="Q402" s="107"/>
    </row>
    <row r="403" spans="10:17" ht="12.75">
      <c r="J403" s="89"/>
      <c r="Q403" s="107"/>
    </row>
    <row r="404" spans="10:17" ht="12.75">
      <c r="J404" s="89"/>
      <c r="Q404" s="107"/>
    </row>
    <row r="405" spans="10:17" ht="12.75">
      <c r="J405" s="89"/>
      <c r="Q405" s="107"/>
    </row>
    <row r="406" spans="10:17" ht="12.75">
      <c r="J406" s="89"/>
      <c r="Q406" s="107"/>
    </row>
    <row r="407" spans="10:17" ht="12.75">
      <c r="J407" s="89"/>
      <c r="Q407" s="107"/>
    </row>
    <row r="408" spans="10:17" ht="12.75">
      <c r="J408" s="89"/>
      <c r="Q408" s="107"/>
    </row>
    <row r="409" spans="10:17" ht="12.75">
      <c r="J409" s="89"/>
      <c r="Q409" s="107"/>
    </row>
    <row r="410" spans="10:17" ht="12.75">
      <c r="J410" s="89"/>
      <c r="Q410" s="107"/>
    </row>
    <row r="411" spans="10:17" ht="12.75">
      <c r="J411" s="89"/>
      <c r="Q411" s="107"/>
    </row>
    <row r="412" spans="10:17" ht="12.75">
      <c r="J412" s="89"/>
      <c r="Q412" s="107"/>
    </row>
    <row r="413" spans="10:17" ht="12.75">
      <c r="J413" s="89"/>
      <c r="Q413" s="107"/>
    </row>
    <row r="414" spans="10:17" ht="12.75">
      <c r="J414" s="89"/>
      <c r="Q414" s="107"/>
    </row>
    <row r="415" spans="10:17" ht="12.75">
      <c r="J415" s="89"/>
      <c r="Q415" s="107"/>
    </row>
    <row r="416" spans="10:17" ht="12.75">
      <c r="J416" s="89"/>
      <c r="Q416" s="107"/>
    </row>
    <row r="417" spans="10:17" ht="12.75">
      <c r="J417" s="89"/>
      <c r="Q417" s="107"/>
    </row>
    <row r="418" spans="10:17" ht="12.75">
      <c r="J418" s="89"/>
      <c r="Q418" s="107"/>
    </row>
    <row r="419" spans="10:17" ht="12.75">
      <c r="J419" s="89"/>
      <c r="Q419" s="107"/>
    </row>
    <row r="420" spans="10:17" ht="12.75">
      <c r="J420" s="89"/>
      <c r="Q420" s="107"/>
    </row>
    <row r="421" spans="10:17" ht="12.75">
      <c r="J421" s="89"/>
      <c r="Q421" s="107"/>
    </row>
    <row r="422" spans="10:17" ht="12.75">
      <c r="J422" s="89"/>
      <c r="Q422" s="107"/>
    </row>
    <row r="423" spans="10:17" ht="12.75">
      <c r="J423" s="89"/>
      <c r="Q423" s="107"/>
    </row>
    <row r="424" spans="10:17" ht="12.75">
      <c r="J424" s="89"/>
      <c r="Q424" s="107"/>
    </row>
    <row r="425" spans="10:17" ht="12.75">
      <c r="J425" s="89"/>
      <c r="Q425" s="107"/>
    </row>
    <row r="426" spans="10:17" ht="12.75">
      <c r="J426" s="89"/>
      <c r="Q426" s="107"/>
    </row>
    <row r="427" spans="10:17" ht="12.75">
      <c r="J427" s="89"/>
      <c r="Q427" s="107"/>
    </row>
    <row r="428" spans="10:17" ht="12.75">
      <c r="J428" s="89"/>
      <c r="Q428" s="107"/>
    </row>
    <row r="429" spans="10:17" ht="12.75">
      <c r="J429" s="89"/>
      <c r="Q429" s="107"/>
    </row>
    <row r="430" spans="10:17" ht="12.75">
      <c r="J430" s="89"/>
      <c r="Q430" s="107"/>
    </row>
    <row r="431" spans="10:17" ht="12.75">
      <c r="J431" s="89"/>
      <c r="Q431" s="107"/>
    </row>
    <row r="432" spans="10:17" ht="12.75">
      <c r="J432" s="89"/>
      <c r="Q432" s="107"/>
    </row>
    <row r="433" spans="10:17" ht="12.75">
      <c r="J433" s="89"/>
      <c r="Q433" s="107"/>
    </row>
    <row r="434" spans="10:17" ht="12.75">
      <c r="J434" s="89"/>
      <c r="Q434" s="107"/>
    </row>
    <row r="435" spans="10:17" ht="12.75">
      <c r="J435" s="89"/>
      <c r="Q435" s="107"/>
    </row>
    <row r="436" spans="10:17" ht="12.75">
      <c r="J436" s="89"/>
      <c r="Q436" s="107"/>
    </row>
    <row r="437" spans="10:17" ht="12.75">
      <c r="J437" s="89"/>
      <c r="Q437" s="107"/>
    </row>
    <row r="438" spans="10:17" ht="12.75">
      <c r="J438" s="89"/>
      <c r="Q438" s="107"/>
    </row>
    <row r="439" spans="10:17" ht="12.75">
      <c r="J439" s="89"/>
      <c r="Q439" s="107"/>
    </row>
    <row r="440" spans="10:17" ht="12.75">
      <c r="J440" s="89"/>
      <c r="Q440" s="107"/>
    </row>
    <row r="441" spans="10:17" ht="12.75">
      <c r="J441" s="89"/>
      <c r="Q441" s="107"/>
    </row>
    <row r="442" spans="10:17" ht="12.75">
      <c r="J442" s="89"/>
      <c r="Q442" s="107"/>
    </row>
    <row r="443" spans="10:17" ht="12.75">
      <c r="J443" s="89"/>
      <c r="Q443" s="107"/>
    </row>
    <row r="444" spans="10:17" ht="12.75">
      <c r="J444" s="89"/>
      <c r="Q444" s="107"/>
    </row>
    <row r="445" spans="10:17" ht="12.75">
      <c r="J445" s="89"/>
      <c r="Q445" s="107"/>
    </row>
    <row r="446" spans="10:17" ht="12.75">
      <c r="J446" s="89"/>
      <c r="Q446" s="107"/>
    </row>
    <row r="447" spans="10:17" ht="12.75">
      <c r="J447" s="89"/>
      <c r="Q447" s="107"/>
    </row>
    <row r="448" spans="10:17" ht="12.75">
      <c r="J448" s="89"/>
      <c r="Q448" s="107"/>
    </row>
    <row r="449" spans="10:17" ht="12.75">
      <c r="J449" s="89"/>
      <c r="Q449" s="107"/>
    </row>
    <row r="450" spans="10:17" ht="12.75">
      <c r="J450" s="89"/>
      <c r="Q450" s="107"/>
    </row>
    <row r="451" spans="10:17" ht="12.75">
      <c r="J451" s="89"/>
      <c r="Q451" s="107"/>
    </row>
    <row r="452" spans="10:17" ht="12.75">
      <c r="J452" s="89"/>
      <c r="Q452" s="107"/>
    </row>
    <row r="453" spans="10:17" ht="12.75">
      <c r="J453" s="89"/>
      <c r="Q453" s="107"/>
    </row>
    <row r="454" spans="10:17" ht="12.75">
      <c r="J454" s="89"/>
      <c r="Q454" s="107"/>
    </row>
    <row r="455" spans="10:17" ht="12.75">
      <c r="J455" s="89"/>
      <c r="Q455" s="107"/>
    </row>
    <row r="456" spans="10:17" ht="12.75">
      <c r="J456" s="89"/>
      <c r="Q456" s="107"/>
    </row>
    <row r="457" spans="10:17" ht="12.75">
      <c r="J457" s="89"/>
      <c r="Q457" s="107"/>
    </row>
    <row r="458" spans="10:17" ht="12.75">
      <c r="J458" s="89"/>
      <c r="Q458" s="107"/>
    </row>
    <row r="459" spans="10:17" ht="12.75">
      <c r="J459" s="89"/>
      <c r="Q459" s="107"/>
    </row>
    <row r="460" spans="10:17" ht="12.75">
      <c r="J460" s="89"/>
      <c r="Q460" s="107"/>
    </row>
    <row r="461" spans="10:17" ht="12.75">
      <c r="J461" s="89"/>
      <c r="Q461" s="107"/>
    </row>
    <row r="462" spans="10:17" ht="12.75">
      <c r="J462" s="89"/>
      <c r="Q462" s="107"/>
    </row>
    <row r="463" spans="10:17" ht="12.75">
      <c r="J463" s="89"/>
      <c r="Q463" s="107"/>
    </row>
    <row r="464" spans="10:17" ht="12.75">
      <c r="J464" s="89"/>
      <c r="Q464" s="107"/>
    </row>
    <row r="465" spans="10:17" ht="12.75">
      <c r="J465" s="89"/>
      <c r="Q465" s="107"/>
    </row>
    <row r="466" spans="10:17" ht="12.75">
      <c r="J466" s="89"/>
      <c r="Q466" s="107"/>
    </row>
    <row r="467" spans="10:17" ht="12.75">
      <c r="J467" s="89"/>
      <c r="Q467" s="107"/>
    </row>
    <row r="468" spans="10:17" ht="12.75">
      <c r="J468" s="89"/>
      <c r="Q468" s="107"/>
    </row>
    <row r="469" spans="10:17" ht="12.75">
      <c r="J469" s="89"/>
      <c r="Q469" s="107"/>
    </row>
    <row r="470" spans="10:17" ht="12.75">
      <c r="J470" s="89"/>
      <c r="Q470" s="107"/>
    </row>
    <row r="471" spans="10:17" ht="12.75">
      <c r="J471" s="89"/>
      <c r="Q471" s="107"/>
    </row>
    <row r="472" spans="10:17" ht="12.75">
      <c r="J472" s="89"/>
      <c r="Q472" s="107"/>
    </row>
    <row r="473" spans="10:17" ht="12.75">
      <c r="J473" s="89"/>
      <c r="Q473" s="107"/>
    </row>
    <row r="474" spans="10:17" ht="12.75">
      <c r="J474" s="89"/>
      <c r="Q474" s="107"/>
    </row>
    <row r="475" spans="10:17" ht="12.75">
      <c r="J475" s="89"/>
      <c r="Q475" s="107"/>
    </row>
    <row r="476" spans="10:17" ht="12.75">
      <c r="J476" s="89"/>
      <c r="Q476" s="107"/>
    </row>
    <row r="477" spans="10:17" ht="12.75">
      <c r="J477" s="89"/>
      <c r="Q477" s="107"/>
    </row>
    <row r="478" spans="10:17" ht="12.75">
      <c r="J478" s="89"/>
      <c r="Q478" s="107"/>
    </row>
    <row r="479" spans="10:17" ht="12.75">
      <c r="J479" s="89"/>
      <c r="Q479" s="107"/>
    </row>
    <row r="480" spans="10:17" ht="12.75">
      <c r="J480" s="89"/>
      <c r="Q480" s="107"/>
    </row>
    <row r="481" spans="10:17" ht="12.75">
      <c r="J481" s="89"/>
      <c r="Q481" s="107"/>
    </row>
    <row r="482" spans="10:17" ht="12.75">
      <c r="J482" s="89"/>
      <c r="Q482" s="107"/>
    </row>
    <row r="483" spans="10:17" ht="12.75">
      <c r="J483" s="89"/>
      <c r="Q483" s="107"/>
    </row>
    <row r="484" spans="10:17" ht="12.75">
      <c r="J484" s="89"/>
      <c r="Q484" s="107"/>
    </row>
    <row r="485" spans="10:17" ht="12.75">
      <c r="J485" s="89"/>
      <c r="Q485" s="107"/>
    </row>
    <row r="486" spans="10:17" ht="12.75">
      <c r="J486" s="89"/>
      <c r="Q486" s="107"/>
    </row>
    <row r="487" spans="10:17" ht="12.75">
      <c r="J487" s="89"/>
      <c r="Q487" s="107"/>
    </row>
    <row r="488" spans="10:17" ht="12.75">
      <c r="J488" s="89"/>
      <c r="Q488" s="107"/>
    </row>
    <row r="489" spans="10:17" ht="12.75">
      <c r="J489" s="89"/>
      <c r="Q489" s="107"/>
    </row>
    <row r="490" spans="10:17" ht="12.75">
      <c r="J490" s="89"/>
      <c r="Q490" s="107"/>
    </row>
    <row r="491" spans="10:17" ht="12.75">
      <c r="J491" s="89"/>
      <c r="Q491" s="107"/>
    </row>
    <row r="492" spans="10:17" ht="12.75">
      <c r="J492" s="89"/>
      <c r="Q492" s="107"/>
    </row>
    <row r="493" spans="10:17" ht="12.75">
      <c r="J493" s="89"/>
      <c r="Q493" s="107"/>
    </row>
    <row r="494" spans="10:17" ht="12.75">
      <c r="J494" s="89"/>
      <c r="Q494" s="107"/>
    </row>
    <row r="495" spans="10:17" ht="12.75">
      <c r="J495" s="89"/>
      <c r="Q495" s="107"/>
    </row>
    <row r="496" spans="10:17" ht="12.75">
      <c r="J496" s="89"/>
      <c r="Q496" s="107"/>
    </row>
    <row r="497" spans="10:17" ht="12.75">
      <c r="J497" s="89"/>
      <c r="Q497" s="107"/>
    </row>
    <row r="498" spans="10:17" ht="12.75">
      <c r="J498" s="89"/>
      <c r="Q498" s="107"/>
    </row>
    <row r="499" spans="10:17" ht="12.75">
      <c r="J499" s="89"/>
      <c r="Q499" s="107"/>
    </row>
    <row r="500" spans="10:17" ht="12.75">
      <c r="J500" s="89"/>
      <c r="Q500" s="107"/>
    </row>
    <row r="501" spans="10:17" ht="12.75">
      <c r="J501" s="89"/>
      <c r="Q501" s="107"/>
    </row>
    <row r="502" spans="10:17" ht="12.75">
      <c r="J502" s="89"/>
      <c r="Q502" s="107"/>
    </row>
    <row r="503" spans="10:17" ht="12.75">
      <c r="J503" s="89"/>
      <c r="Q503" s="107"/>
    </row>
    <row r="504" spans="10:17" ht="12.75">
      <c r="J504" s="89"/>
      <c r="Q504" s="107"/>
    </row>
    <row r="505" spans="10:17" ht="12.75">
      <c r="J505" s="89"/>
      <c r="Q505" s="107"/>
    </row>
    <row r="506" spans="10:17" ht="12.75">
      <c r="J506" s="89"/>
      <c r="Q506" s="107"/>
    </row>
    <row r="507" spans="10:17" ht="12.75">
      <c r="J507" s="89"/>
      <c r="Q507" s="107"/>
    </row>
    <row r="508" spans="10:17" ht="12.75">
      <c r="J508" s="89"/>
      <c r="Q508" s="107"/>
    </row>
    <row r="509" spans="10:17" ht="12.75">
      <c r="J509" s="89"/>
      <c r="Q509" s="107"/>
    </row>
    <row r="510" spans="10:17" ht="12.75">
      <c r="J510" s="89"/>
      <c r="Q510" s="107"/>
    </row>
    <row r="511" spans="10:17" ht="12.75">
      <c r="J511" s="89"/>
      <c r="Q511" s="107"/>
    </row>
    <row r="512" spans="10:17" ht="12.75">
      <c r="J512" s="89"/>
      <c r="Q512" s="107"/>
    </row>
    <row r="513" spans="10:17" ht="12.75">
      <c r="J513" s="89"/>
      <c r="Q513" s="107"/>
    </row>
    <row r="514" spans="10:17" ht="12.75">
      <c r="J514" s="89"/>
      <c r="Q514" s="107"/>
    </row>
    <row r="515" spans="10:17" ht="12.75">
      <c r="J515" s="89"/>
      <c r="Q515" s="107"/>
    </row>
    <row r="516" spans="10:17" ht="12.75">
      <c r="J516" s="89"/>
      <c r="Q516" s="107"/>
    </row>
    <row r="517" spans="10:17" ht="12.75">
      <c r="J517" s="89"/>
      <c r="Q517" s="107"/>
    </row>
    <row r="518" spans="10:17" ht="12.75">
      <c r="J518" s="89"/>
      <c r="Q518" s="107"/>
    </row>
    <row r="519" spans="10:17" ht="12.75">
      <c r="J519" s="89"/>
      <c r="Q519" s="107"/>
    </row>
    <row r="520" spans="10:17" ht="12.75">
      <c r="J520" s="89"/>
      <c r="Q520" s="107"/>
    </row>
    <row r="521" spans="10:17" ht="12.75">
      <c r="J521" s="89"/>
      <c r="Q521" s="107"/>
    </row>
    <row r="522" spans="10:17" ht="12.75">
      <c r="J522" s="89"/>
      <c r="Q522" s="107"/>
    </row>
    <row r="523" spans="10:17" ht="12.75">
      <c r="J523" s="89"/>
      <c r="Q523" s="107"/>
    </row>
    <row r="524" spans="10:17" ht="12.75">
      <c r="J524" s="89"/>
      <c r="Q524" s="107"/>
    </row>
    <row r="525" spans="10:17" ht="12.75">
      <c r="J525" s="89"/>
      <c r="Q525" s="107"/>
    </row>
    <row r="526" spans="10:17" ht="12.75">
      <c r="J526" s="89"/>
      <c r="Q526" s="107"/>
    </row>
    <row r="527" spans="10:17" ht="12.75">
      <c r="J527" s="89"/>
      <c r="Q527" s="107"/>
    </row>
    <row r="528" spans="10:17" ht="12.75">
      <c r="J528" s="89"/>
      <c r="Q528" s="107"/>
    </row>
    <row r="529" spans="10:17" ht="12.75">
      <c r="J529" s="89"/>
      <c r="Q529" s="107"/>
    </row>
    <row r="530" spans="10:17" ht="12.75">
      <c r="J530" s="89"/>
      <c r="Q530" s="107"/>
    </row>
    <row r="531" spans="10:17" ht="12.75">
      <c r="J531" s="89"/>
      <c r="Q531" s="107"/>
    </row>
    <row r="532" spans="10:17" ht="12.75">
      <c r="J532" s="89"/>
      <c r="Q532" s="107"/>
    </row>
    <row r="533" spans="10:17" ht="12.75">
      <c r="J533" s="89"/>
      <c r="Q533" s="107"/>
    </row>
    <row r="534" spans="10:17" ht="12.75">
      <c r="J534" s="89"/>
      <c r="Q534" s="107"/>
    </row>
    <row r="535" spans="10:17" ht="12.75">
      <c r="J535" s="89"/>
      <c r="Q535" s="107"/>
    </row>
    <row r="536" spans="10:17" ht="12.75">
      <c r="J536" s="89"/>
      <c r="Q536" s="107"/>
    </row>
    <row r="537" spans="10:17" ht="12.75">
      <c r="J537" s="89"/>
      <c r="Q537" s="107"/>
    </row>
    <row r="538" spans="10:17" ht="12.75">
      <c r="J538" s="89"/>
      <c r="Q538" s="107"/>
    </row>
    <row r="539" spans="10:17" ht="12.75">
      <c r="J539" s="89"/>
      <c r="Q539" s="107"/>
    </row>
    <row r="540" spans="10:17" ht="12.75">
      <c r="J540" s="89"/>
      <c r="Q540" s="107"/>
    </row>
    <row r="541" spans="10:17" ht="12.75">
      <c r="J541" s="89"/>
      <c r="Q541" s="107"/>
    </row>
    <row r="542" spans="10:17" ht="12.75">
      <c r="J542" s="89"/>
      <c r="Q542" s="107"/>
    </row>
    <row r="543" spans="10:17" ht="12.75">
      <c r="J543" s="89"/>
      <c r="Q543" s="107"/>
    </row>
    <row r="544" spans="10:17" ht="12.75">
      <c r="J544" s="89"/>
      <c r="Q544" s="107"/>
    </row>
    <row r="545" spans="10:17" ht="12.75">
      <c r="J545" s="89"/>
      <c r="Q545" s="107"/>
    </row>
    <row r="546" spans="10:17" ht="12.75">
      <c r="J546" s="89"/>
      <c r="Q546" s="107"/>
    </row>
    <row r="547" spans="10:17" ht="12.75">
      <c r="J547" s="89"/>
      <c r="Q547" s="107"/>
    </row>
    <row r="548" spans="10:17" ht="12.75">
      <c r="J548" s="89"/>
      <c r="Q548" s="107"/>
    </row>
    <row r="549" spans="10:17" ht="12.75">
      <c r="J549" s="89"/>
      <c r="Q549" s="107"/>
    </row>
    <row r="550" spans="10:17" ht="12.75">
      <c r="J550" s="89"/>
      <c r="Q550" s="107"/>
    </row>
    <row r="551" spans="10:17" ht="12.75">
      <c r="J551" s="89"/>
      <c r="Q551" s="107"/>
    </row>
    <row r="552" spans="10:17" ht="12.75">
      <c r="J552" s="89"/>
      <c r="Q552" s="107"/>
    </row>
    <row r="553" spans="10:17" ht="12.75">
      <c r="J553" s="89"/>
      <c r="Q553" s="107"/>
    </row>
    <row r="554" spans="10:17" ht="12.75">
      <c r="J554" s="89"/>
      <c r="Q554" s="107"/>
    </row>
    <row r="555" spans="10:17" ht="12.75">
      <c r="J555" s="89"/>
      <c r="Q555" s="107"/>
    </row>
    <row r="556" spans="10:17" ht="12.75">
      <c r="J556" s="89"/>
      <c r="Q556" s="107"/>
    </row>
    <row r="557" spans="10:17" ht="12.75">
      <c r="J557" s="89"/>
      <c r="Q557" s="107"/>
    </row>
    <row r="558" spans="10:17" ht="12.75">
      <c r="J558" s="89"/>
      <c r="Q558" s="107"/>
    </row>
    <row r="559" spans="10:17" ht="12.75">
      <c r="J559" s="89"/>
      <c r="Q559" s="107"/>
    </row>
    <row r="560" spans="10:17" ht="12.75">
      <c r="J560" s="89"/>
      <c r="Q560" s="107"/>
    </row>
    <row r="561" spans="10:17" ht="12.75">
      <c r="J561" s="89"/>
      <c r="Q561" s="107"/>
    </row>
    <row r="562" spans="10:17" ht="12.75">
      <c r="J562" s="89"/>
      <c r="Q562" s="107"/>
    </row>
    <row r="563" spans="10:17" ht="12.75">
      <c r="J563" s="89"/>
      <c r="Q563" s="107"/>
    </row>
    <row r="564" spans="10:17" ht="12.75">
      <c r="J564" s="89"/>
      <c r="Q564" s="107"/>
    </row>
    <row r="565" spans="10:17" ht="12.75">
      <c r="J565" s="89"/>
      <c r="Q565" s="107"/>
    </row>
    <row r="566" spans="10:17" ht="12.75">
      <c r="J566" s="89"/>
      <c r="Q566" s="107"/>
    </row>
    <row r="567" spans="10:17" ht="12.75">
      <c r="J567" s="89"/>
      <c r="Q567" s="107"/>
    </row>
    <row r="568" spans="10:17" ht="12.75">
      <c r="J568" s="89"/>
      <c r="Q568" s="107"/>
    </row>
    <row r="569" spans="10:17" ht="12.75">
      <c r="J569" s="89"/>
      <c r="Q569" s="107"/>
    </row>
    <row r="570" spans="10:17" ht="12.75">
      <c r="J570" s="89"/>
      <c r="Q570" s="107"/>
    </row>
    <row r="571" spans="10:17" ht="12.75">
      <c r="J571" s="89"/>
      <c r="Q571" s="107"/>
    </row>
    <row r="572" spans="10:17" ht="12.75">
      <c r="J572" s="89"/>
      <c r="Q572" s="107"/>
    </row>
    <row r="573" spans="10:17" ht="12.75">
      <c r="J573" s="89"/>
      <c r="Q573" s="107"/>
    </row>
    <row r="574" spans="10:17" ht="12.75">
      <c r="J574" s="89"/>
      <c r="Q574" s="107"/>
    </row>
    <row r="575" spans="10:17" ht="12.75">
      <c r="J575" s="89"/>
      <c r="Q575" s="107"/>
    </row>
    <row r="576" spans="10:17" ht="12.75">
      <c r="J576" s="89"/>
      <c r="Q576" s="107"/>
    </row>
    <row r="577" spans="10:17" ht="12.75">
      <c r="J577" s="89"/>
      <c r="Q577" s="107"/>
    </row>
    <row r="578" spans="10:17" ht="12.75">
      <c r="J578" s="89"/>
      <c r="Q578" s="107"/>
    </row>
    <row r="579" spans="10:17" ht="12.75">
      <c r="J579" s="89"/>
      <c r="Q579" s="107"/>
    </row>
    <row r="580" spans="10:17" ht="12.75">
      <c r="J580" s="89"/>
      <c r="Q580" s="107"/>
    </row>
    <row r="581" spans="10:17" ht="12.75">
      <c r="J581" s="89"/>
      <c r="Q581" s="107"/>
    </row>
    <row r="582" spans="10:17" ht="12.75">
      <c r="J582" s="89"/>
      <c r="Q582" s="107"/>
    </row>
    <row r="583" spans="10:17" ht="12.75">
      <c r="J583" s="89"/>
      <c r="Q583" s="107"/>
    </row>
    <row r="584" spans="10:17" ht="12.75">
      <c r="J584" s="89"/>
      <c r="Q584" s="107"/>
    </row>
    <row r="585" spans="10:17" ht="12.75">
      <c r="J585" s="89"/>
      <c r="Q585" s="107"/>
    </row>
    <row r="586" spans="10:17" ht="12.75">
      <c r="J586" s="89"/>
      <c r="Q586" s="107"/>
    </row>
    <row r="587" spans="10:17" ht="12.75">
      <c r="J587" s="89"/>
      <c r="Q587" s="107"/>
    </row>
    <row r="588" spans="10:17" ht="12.75">
      <c r="J588" s="89"/>
      <c r="Q588" s="107"/>
    </row>
    <row r="589" spans="10:17" ht="12.75">
      <c r="J589" s="89"/>
      <c r="Q589" s="107"/>
    </row>
    <row r="590" spans="10:17" ht="12.75">
      <c r="J590" s="89"/>
      <c r="Q590" s="107"/>
    </row>
    <row r="591" spans="10:17" ht="12.75">
      <c r="J591" s="89"/>
      <c r="Q591" s="107"/>
    </row>
    <row r="592" spans="10:17" ht="12.75">
      <c r="J592" s="89"/>
      <c r="Q592" s="107"/>
    </row>
    <row r="593" spans="10:17" ht="12.75">
      <c r="J593" s="89"/>
      <c r="Q593" s="107"/>
    </row>
    <row r="594" spans="10:17" ht="12.75">
      <c r="J594" s="89"/>
      <c r="Q594" s="107"/>
    </row>
    <row r="595" spans="10:17" ht="12.75">
      <c r="J595" s="89"/>
      <c r="Q595" s="107"/>
    </row>
    <row r="596" spans="10:17" ht="12.75">
      <c r="J596" s="89"/>
      <c r="Q596" s="107"/>
    </row>
    <row r="597" spans="10:17" ht="12.75">
      <c r="J597" s="89"/>
      <c r="Q597" s="107"/>
    </row>
    <row r="598" spans="10:17" ht="12.75">
      <c r="J598" s="89"/>
      <c r="Q598" s="107"/>
    </row>
    <row r="599" spans="10:17" ht="12.75">
      <c r="J599" s="89"/>
      <c r="Q599" s="107"/>
    </row>
    <row r="600" spans="10:17" ht="12.75">
      <c r="J600" s="89"/>
      <c r="Q600" s="107"/>
    </row>
    <row r="601" spans="10:17" ht="12.75">
      <c r="J601" s="89"/>
      <c r="Q601" s="107"/>
    </row>
    <row r="602" spans="10:17" ht="12.75">
      <c r="J602" s="89"/>
      <c r="Q602" s="107"/>
    </row>
    <row r="603" spans="10:17" ht="12.75">
      <c r="J603" s="89"/>
      <c r="Q603" s="107"/>
    </row>
    <row r="604" spans="10:17" ht="12.75">
      <c r="J604" s="89"/>
      <c r="Q604" s="107"/>
    </row>
    <row r="605" spans="10:17" ht="12.75">
      <c r="J605" s="89"/>
      <c r="Q605" s="107"/>
    </row>
    <row r="606" spans="10:17" ht="12.75">
      <c r="J606" s="89"/>
      <c r="Q606" s="107"/>
    </row>
    <row r="607" spans="10:17" ht="12.75">
      <c r="J607" s="89"/>
      <c r="Q607" s="107"/>
    </row>
    <row r="608" spans="10:17" ht="12.75">
      <c r="J608" s="89"/>
      <c r="Q608" s="107"/>
    </row>
    <row r="609" spans="10:17" ht="12.75">
      <c r="J609" s="89"/>
      <c r="Q609" s="107"/>
    </row>
    <row r="610" spans="10:17" ht="12.75">
      <c r="J610" s="89"/>
      <c r="Q610" s="107"/>
    </row>
    <row r="611" spans="10:17" ht="12.75">
      <c r="J611" s="89"/>
      <c r="Q611" s="107"/>
    </row>
    <row r="612" spans="10:17" ht="12.75">
      <c r="J612" s="89"/>
      <c r="Q612" s="107"/>
    </row>
    <row r="613" spans="10:17" ht="12.75">
      <c r="J613" s="89"/>
      <c r="Q613" s="107"/>
    </row>
    <row r="614" spans="10:17" ht="12.75">
      <c r="J614" s="89"/>
      <c r="Q614" s="107"/>
    </row>
    <row r="615" spans="10:17" ht="12.75">
      <c r="J615" s="89"/>
      <c r="Q615" s="107"/>
    </row>
    <row r="616" spans="10:17" ht="12.75">
      <c r="J616" s="89"/>
      <c r="Q616" s="107"/>
    </row>
    <row r="617" spans="10:17" ht="12.75">
      <c r="J617" s="89"/>
      <c r="Q617" s="107"/>
    </row>
    <row r="618" spans="10:17" ht="12.75">
      <c r="J618" s="89"/>
      <c r="Q618" s="107"/>
    </row>
    <row r="619" spans="10:17" ht="12.75">
      <c r="J619" s="89"/>
      <c r="Q619" s="107"/>
    </row>
    <row r="620" spans="10:17" ht="12.75">
      <c r="J620" s="89"/>
      <c r="Q620" s="107"/>
    </row>
    <row r="621" spans="10:17" ht="12.75">
      <c r="J621" s="89"/>
      <c r="Q621" s="107"/>
    </row>
    <row r="622" spans="10:17" ht="12.75">
      <c r="J622" s="89"/>
      <c r="Q622" s="107"/>
    </row>
    <row r="623" spans="10:17" ht="12.75">
      <c r="J623" s="89"/>
      <c r="Q623" s="107"/>
    </row>
    <row r="624" spans="10:17" ht="12.75">
      <c r="J624" s="89"/>
      <c r="Q624" s="107"/>
    </row>
    <row r="625" spans="10:17" ht="12.75">
      <c r="J625" s="89"/>
      <c r="Q625" s="107"/>
    </row>
    <row r="626" spans="10:17" ht="12.75">
      <c r="J626" s="89"/>
      <c r="Q626" s="107"/>
    </row>
    <row r="627" spans="10:17" ht="12.75">
      <c r="J627" s="89"/>
      <c r="Q627" s="107"/>
    </row>
    <row r="628" spans="10:17" ht="12.75">
      <c r="J628" s="89"/>
      <c r="Q628" s="107"/>
    </row>
    <row r="629" spans="10:17" ht="12.75">
      <c r="J629" s="89"/>
      <c r="Q629" s="107"/>
    </row>
    <row r="630" spans="10:17" ht="12.75">
      <c r="J630" s="89"/>
      <c r="Q630" s="107"/>
    </row>
    <row r="631" spans="10:17" ht="12.75">
      <c r="J631" s="89"/>
      <c r="Q631" s="107"/>
    </row>
    <row r="632" spans="10:17" ht="12.75">
      <c r="J632" s="89"/>
      <c r="Q632" s="107"/>
    </row>
    <row r="633" spans="10:17" ht="12.75">
      <c r="J633" s="89"/>
      <c r="Q633" s="107"/>
    </row>
    <row r="634" spans="10:17" ht="12.75">
      <c r="J634" s="89"/>
      <c r="Q634" s="107"/>
    </row>
    <row r="635" spans="10:17" ht="12.75">
      <c r="J635" s="89"/>
      <c r="Q635" s="107"/>
    </row>
    <row r="636" spans="10:17" ht="12.75">
      <c r="J636" s="89"/>
      <c r="Q636" s="107"/>
    </row>
    <row r="637" spans="10:17" ht="12.75">
      <c r="J637" s="89"/>
      <c r="Q637" s="107"/>
    </row>
    <row r="638" spans="10:17" ht="12.75">
      <c r="J638" s="89"/>
      <c r="Q638" s="107"/>
    </row>
    <row r="639" spans="10:17" ht="12.75">
      <c r="J639" s="89"/>
      <c r="Q639" s="107"/>
    </row>
    <row r="640" spans="10:17" ht="12.75">
      <c r="J640" s="89"/>
      <c r="Q640" s="107"/>
    </row>
    <row r="641" spans="10:17" ht="12.75">
      <c r="J641" s="89"/>
      <c r="Q641" s="107"/>
    </row>
    <row r="642" spans="10:17" ht="12.75">
      <c r="J642" s="89"/>
      <c r="Q642" s="107"/>
    </row>
    <row r="643" spans="10:17" ht="12.75">
      <c r="J643" s="89"/>
      <c r="Q643" s="107"/>
    </row>
    <row r="644" spans="10:17" ht="12.75">
      <c r="J644" s="89"/>
      <c r="Q644" s="107"/>
    </row>
    <row r="645" spans="10:17" ht="12.75">
      <c r="J645" s="89"/>
      <c r="Q645" s="107"/>
    </row>
    <row r="646" spans="10:17" ht="12.75">
      <c r="J646" s="89"/>
      <c r="Q646" s="107"/>
    </row>
    <row r="647" spans="10:17" ht="12.75">
      <c r="J647" s="89"/>
      <c r="Q647" s="107"/>
    </row>
    <row r="648" spans="10:17" ht="12.75">
      <c r="J648" s="89"/>
      <c r="Q648" s="107"/>
    </row>
    <row r="649" spans="10:17" ht="12.75">
      <c r="J649" s="89"/>
      <c r="Q649" s="107"/>
    </row>
    <row r="650" spans="10:17" ht="12.75">
      <c r="J650" s="89"/>
      <c r="Q650" s="107"/>
    </row>
    <row r="651" spans="10:17" ht="12.75">
      <c r="J651" s="89"/>
      <c r="Q651" s="107"/>
    </row>
    <row r="652" spans="10:17" ht="12.75">
      <c r="J652" s="89"/>
      <c r="Q652" s="107"/>
    </row>
    <row r="653" spans="10:17" ht="12.75">
      <c r="J653" s="89"/>
      <c r="Q653" s="107"/>
    </row>
    <row r="654" spans="10:17" ht="12.75">
      <c r="J654" s="89"/>
      <c r="Q654" s="107"/>
    </row>
    <row r="655" spans="10:17" ht="12.75">
      <c r="J655" s="89"/>
      <c r="Q655" s="107"/>
    </row>
    <row r="656" spans="10:17" ht="12.75">
      <c r="J656" s="89"/>
      <c r="Q656" s="107"/>
    </row>
    <row r="657" spans="10:17" ht="12.75">
      <c r="J657" s="89"/>
      <c r="Q657" s="107"/>
    </row>
    <row r="658" spans="10:17" ht="12.75">
      <c r="J658" s="89"/>
      <c r="Q658" s="107"/>
    </row>
    <row r="659" spans="10:17" ht="12.75">
      <c r="J659" s="89"/>
      <c r="Q659" s="107"/>
    </row>
    <row r="660" spans="10:17" ht="12.75">
      <c r="J660" s="89"/>
      <c r="Q660" s="107"/>
    </row>
    <row r="661" spans="10:17" ht="12.75">
      <c r="J661" s="89"/>
      <c r="Q661" s="107"/>
    </row>
    <row r="662" spans="10:17" ht="12.75">
      <c r="J662" s="89"/>
      <c r="Q662" s="107"/>
    </row>
    <row r="663" spans="10:17" ht="12.75">
      <c r="J663" s="89"/>
      <c r="Q663" s="107"/>
    </row>
    <row r="664" spans="10:17" ht="12.75">
      <c r="J664" s="89"/>
      <c r="Q664" s="107"/>
    </row>
    <row r="665" spans="10:17" ht="12.75">
      <c r="J665" s="89"/>
      <c r="Q665" s="107"/>
    </row>
    <row r="666" spans="10:17" ht="12.75">
      <c r="J666" s="89"/>
      <c r="Q666" s="107"/>
    </row>
    <row r="667" spans="10:17" ht="12.75">
      <c r="J667" s="89"/>
      <c r="Q667" s="107"/>
    </row>
    <row r="668" spans="10:17" ht="12.75">
      <c r="J668" s="89"/>
      <c r="Q668" s="107"/>
    </row>
    <row r="669" spans="10:17" ht="12.75">
      <c r="J669" s="89"/>
      <c r="Q669" s="107"/>
    </row>
    <row r="670" spans="10:17" ht="12.75">
      <c r="J670" s="89"/>
      <c r="Q670" s="107"/>
    </row>
    <row r="671" spans="10:17" ht="12.75">
      <c r="J671" s="89"/>
      <c r="Q671" s="107"/>
    </row>
    <row r="672" spans="10:17" ht="12.75">
      <c r="J672" s="89"/>
      <c r="Q672" s="107"/>
    </row>
    <row r="673" spans="10:17" ht="12.75">
      <c r="J673" s="89"/>
      <c r="Q673" s="107"/>
    </row>
    <row r="674" spans="10:17" ht="12.75">
      <c r="J674" s="89"/>
      <c r="Q674" s="107"/>
    </row>
    <row r="675" spans="10:17" ht="12.75">
      <c r="J675" s="89"/>
      <c r="Q675" s="107"/>
    </row>
    <row r="676" spans="10:17" ht="12.75">
      <c r="J676" s="89"/>
      <c r="Q676" s="107"/>
    </row>
    <row r="677" spans="10:17" ht="12.75">
      <c r="J677" s="89"/>
      <c r="Q677" s="107"/>
    </row>
    <row r="678" spans="10:17" ht="12.75">
      <c r="J678" s="89"/>
      <c r="Q678" s="107"/>
    </row>
    <row r="679" spans="10:17" ht="12.75">
      <c r="J679" s="89"/>
      <c r="Q679" s="107"/>
    </row>
    <row r="680" spans="10:17" ht="12.75">
      <c r="J680" s="89"/>
      <c r="Q680" s="107"/>
    </row>
    <row r="681" spans="10:17" ht="12.75">
      <c r="J681" s="89"/>
      <c r="Q681" s="107"/>
    </row>
    <row r="682" spans="10:17" ht="12.75">
      <c r="J682" s="89"/>
      <c r="Q682" s="107"/>
    </row>
    <row r="683" spans="10:17" ht="12.75">
      <c r="J683" s="89"/>
      <c r="Q683" s="107"/>
    </row>
    <row r="684" spans="10:17" ht="12.75">
      <c r="J684" s="89"/>
      <c r="Q684" s="107"/>
    </row>
    <row r="685" spans="10:17" ht="12.75">
      <c r="J685" s="89"/>
      <c r="Q685" s="107"/>
    </row>
    <row r="686" spans="10:17" ht="12.75">
      <c r="J686" s="89"/>
      <c r="Q686" s="107"/>
    </row>
    <row r="687" spans="10:17" ht="12.75">
      <c r="J687" s="89"/>
      <c r="Q687" s="107"/>
    </row>
    <row r="688" spans="10:17" ht="12.75">
      <c r="J688" s="89"/>
      <c r="Q688" s="107"/>
    </row>
    <row r="689" spans="10:17" ht="12.75">
      <c r="J689" s="89"/>
      <c r="Q689" s="107"/>
    </row>
    <row r="690" spans="10:17" ht="12.75">
      <c r="J690" s="89"/>
      <c r="Q690" s="107"/>
    </row>
    <row r="691" spans="10:17" ht="12.75">
      <c r="J691" s="89"/>
      <c r="Q691" s="107"/>
    </row>
    <row r="692" spans="10:17" ht="12.75">
      <c r="J692" s="89"/>
      <c r="Q692" s="107"/>
    </row>
    <row r="693" spans="10:17" ht="12.75">
      <c r="J693" s="89"/>
      <c r="Q693" s="107"/>
    </row>
    <row r="694" spans="10:17" ht="12.75">
      <c r="J694" s="89"/>
      <c r="Q694" s="107"/>
    </row>
    <row r="695" spans="10:17" ht="12.75">
      <c r="J695" s="89"/>
      <c r="Q695" s="107"/>
    </row>
    <row r="696" spans="10:17" ht="12.75">
      <c r="J696" s="89"/>
      <c r="Q696" s="107"/>
    </row>
    <row r="697" spans="10:17" ht="12.75">
      <c r="J697" s="89"/>
      <c r="Q697" s="107"/>
    </row>
    <row r="698" spans="10:17" ht="12.75">
      <c r="J698" s="89"/>
      <c r="Q698" s="107"/>
    </row>
    <row r="699" spans="10:17" ht="12.75">
      <c r="J699" s="89"/>
      <c r="Q699" s="107"/>
    </row>
    <row r="700" spans="10:17" ht="12.75">
      <c r="J700" s="89"/>
      <c r="Q700" s="107"/>
    </row>
    <row r="701" spans="10:17" ht="12.75">
      <c r="J701" s="89"/>
      <c r="Q701" s="107"/>
    </row>
    <row r="702" spans="10:17" ht="12.75">
      <c r="J702" s="89"/>
      <c r="Q702" s="107"/>
    </row>
    <row r="703" spans="10:17" ht="12.75">
      <c r="J703" s="89"/>
      <c r="Q703" s="107"/>
    </row>
    <row r="704" spans="10:17" ht="12.75">
      <c r="J704" s="89"/>
      <c r="Q704" s="107"/>
    </row>
    <row r="705" spans="10:17" ht="12.75">
      <c r="J705" s="89"/>
      <c r="Q705" s="107"/>
    </row>
    <row r="706" spans="10:17" ht="12.75">
      <c r="J706" s="89"/>
      <c r="Q706" s="107"/>
    </row>
    <row r="707" spans="10:17" ht="12.75">
      <c r="J707" s="89"/>
      <c r="Q707" s="107"/>
    </row>
    <row r="708" spans="10:17" ht="12.75">
      <c r="J708" s="89"/>
      <c r="Q708" s="107"/>
    </row>
    <row r="709" spans="10:17" ht="12.75">
      <c r="J709" s="89"/>
      <c r="Q709" s="107"/>
    </row>
    <row r="710" spans="10:17" ht="12.75">
      <c r="J710" s="89"/>
      <c r="Q710" s="107"/>
    </row>
    <row r="711" spans="10:17" ht="12.75">
      <c r="J711" s="89"/>
      <c r="Q711" s="107"/>
    </row>
    <row r="712" spans="10:17" ht="12.75">
      <c r="J712" s="89"/>
      <c r="Q712" s="107"/>
    </row>
    <row r="713" spans="10:17" ht="12.75">
      <c r="J713" s="89"/>
      <c r="Q713" s="107"/>
    </row>
    <row r="714" spans="10:17" ht="12.75">
      <c r="J714" s="89"/>
      <c r="Q714" s="107"/>
    </row>
    <row r="715" spans="10:17" ht="12.75">
      <c r="J715" s="89"/>
      <c r="Q715" s="107"/>
    </row>
    <row r="716" spans="10:17" ht="12.75">
      <c r="J716" s="89"/>
      <c r="Q716" s="107"/>
    </row>
    <row r="717" spans="10:17" ht="12.75">
      <c r="J717" s="89"/>
      <c r="Q717" s="107"/>
    </row>
    <row r="718" spans="10:17" ht="12.75">
      <c r="J718" s="89"/>
      <c r="Q718" s="107"/>
    </row>
    <row r="719" spans="10:17" ht="12.75">
      <c r="J719" s="89"/>
      <c r="Q719" s="107"/>
    </row>
    <row r="720" spans="10:17" ht="12.75">
      <c r="J720" s="89"/>
      <c r="Q720" s="107"/>
    </row>
    <row r="721" spans="10:17" ht="12.75">
      <c r="J721" s="89"/>
      <c r="Q721" s="107"/>
    </row>
    <row r="722" spans="10:17" ht="12.75">
      <c r="J722" s="89"/>
      <c r="Q722" s="107"/>
    </row>
    <row r="723" spans="10:17" ht="12.75">
      <c r="J723" s="89"/>
      <c r="Q723" s="107"/>
    </row>
    <row r="724" spans="10:17" ht="12.75">
      <c r="J724" s="89"/>
      <c r="Q724" s="107"/>
    </row>
    <row r="725" spans="10:17" ht="12.75">
      <c r="J725" s="89"/>
      <c r="Q725" s="107"/>
    </row>
    <row r="726" spans="10:17" ht="12.75">
      <c r="J726" s="89"/>
      <c r="Q726" s="107"/>
    </row>
    <row r="727" spans="10:17" ht="12.75">
      <c r="J727" s="89"/>
      <c r="Q727" s="107"/>
    </row>
    <row r="728" spans="10:17" ht="12.75">
      <c r="J728" s="89"/>
      <c r="Q728" s="107"/>
    </row>
    <row r="729" spans="10:17" ht="12.75">
      <c r="J729" s="89"/>
      <c r="Q729" s="107"/>
    </row>
    <row r="730" spans="10:17" ht="12.75">
      <c r="J730" s="89"/>
      <c r="Q730" s="107"/>
    </row>
    <row r="731" spans="10:17" ht="12.75">
      <c r="J731" s="89"/>
      <c r="Q731" s="107"/>
    </row>
    <row r="732" spans="10:17" ht="12.75">
      <c r="J732" s="89"/>
      <c r="Q732" s="107"/>
    </row>
    <row r="733" spans="10:17" ht="12.75">
      <c r="J733" s="89"/>
      <c r="Q733" s="107"/>
    </row>
    <row r="734" spans="10:17" ht="12.75">
      <c r="J734" s="89"/>
      <c r="Q734" s="107"/>
    </row>
    <row r="735" spans="10:17" ht="12.75">
      <c r="J735" s="89"/>
      <c r="Q735" s="107"/>
    </row>
    <row r="736" spans="10:17" ht="12.75">
      <c r="J736" s="89"/>
      <c r="Q736" s="107"/>
    </row>
    <row r="737" spans="10:17" ht="12.75">
      <c r="J737" s="89"/>
      <c r="Q737" s="107"/>
    </row>
    <row r="738" spans="10:17" ht="12.75">
      <c r="J738" s="89"/>
      <c r="Q738" s="107"/>
    </row>
    <row r="739" spans="10:17" ht="12.75">
      <c r="J739" s="89"/>
      <c r="Q739" s="107"/>
    </row>
    <row r="740" spans="10:17" ht="12.75">
      <c r="J740" s="89"/>
      <c r="Q740" s="107"/>
    </row>
    <row r="741" spans="10:17" ht="12.75">
      <c r="J741" s="89"/>
      <c r="Q741" s="107"/>
    </row>
    <row r="742" spans="10:17" ht="12.75">
      <c r="J742" s="89"/>
      <c r="Q742" s="107"/>
    </row>
    <row r="743" spans="10:17" ht="12.75">
      <c r="J743" s="89"/>
      <c r="Q743" s="107"/>
    </row>
    <row r="744" spans="10:17" ht="12.75">
      <c r="J744" s="89"/>
      <c r="Q744" s="107"/>
    </row>
    <row r="745" spans="10:17" ht="12.75">
      <c r="J745" s="89"/>
      <c r="Q745" s="107"/>
    </row>
    <row r="746" spans="10:17" ht="12.75">
      <c r="J746" s="89"/>
      <c r="Q746" s="107"/>
    </row>
    <row r="747" spans="10:17" ht="12.75">
      <c r="J747" s="89"/>
      <c r="Q747" s="107"/>
    </row>
    <row r="748" spans="10:17" ht="12.75">
      <c r="J748" s="89"/>
      <c r="Q748" s="107"/>
    </row>
    <row r="749" spans="10:17" ht="12.75">
      <c r="J749" s="89"/>
      <c r="Q749" s="107"/>
    </row>
    <row r="750" spans="10:17" ht="12.75">
      <c r="J750" s="89"/>
      <c r="Q750" s="107"/>
    </row>
    <row r="751" spans="10:17" ht="12.75">
      <c r="J751" s="89"/>
      <c r="Q751" s="107"/>
    </row>
    <row r="752" spans="10:17" ht="12.75">
      <c r="J752" s="89"/>
      <c r="Q752" s="107"/>
    </row>
    <row r="753" spans="10:17" ht="12.75">
      <c r="J753" s="89"/>
      <c r="Q753" s="107"/>
    </row>
    <row r="754" spans="10:17" ht="12.75">
      <c r="J754" s="89"/>
      <c r="Q754" s="107"/>
    </row>
    <row r="755" spans="10:17" ht="12.75">
      <c r="J755" s="89"/>
      <c r="Q755" s="107"/>
    </row>
    <row r="756" spans="10:17" ht="12.75">
      <c r="J756" s="89"/>
      <c r="Q756" s="107"/>
    </row>
    <row r="757" spans="10:17" ht="12.75">
      <c r="J757" s="89"/>
      <c r="Q757" s="107"/>
    </row>
    <row r="758" spans="10:17" ht="12.75">
      <c r="J758" s="89"/>
      <c r="Q758" s="107"/>
    </row>
    <row r="759" spans="10:17" ht="12.75">
      <c r="J759" s="89"/>
      <c r="Q759" s="107"/>
    </row>
    <row r="760" spans="10:17" ht="12.75">
      <c r="J760" s="89"/>
      <c r="Q760" s="107"/>
    </row>
    <row r="761" spans="10:17" ht="12.75">
      <c r="J761" s="89"/>
      <c r="Q761" s="107"/>
    </row>
    <row r="762" spans="10:17" ht="12.75">
      <c r="J762" s="89"/>
      <c r="Q762" s="107"/>
    </row>
    <row r="763" spans="10:17" ht="12.75">
      <c r="J763" s="89"/>
      <c r="Q763" s="107"/>
    </row>
    <row r="764" spans="10:17" ht="12.75">
      <c r="J764" s="89"/>
      <c r="Q764" s="107"/>
    </row>
    <row r="765" spans="10:17" ht="12.75">
      <c r="J765" s="89"/>
      <c r="Q765" s="107"/>
    </row>
    <row r="766" spans="10:17" ht="12.75">
      <c r="J766" s="89"/>
      <c r="Q766" s="107"/>
    </row>
    <row r="767" spans="10:17" ht="12.75">
      <c r="J767" s="89"/>
      <c r="Q767" s="107"/>
    </row>
    <row r="768" spans="10:17" ht="12.75">
      <c r="J768" s="89"/>
      <c r="Q768" s="107"/>
    </row>
    <row r="769" spans="10:17" ht="12.75">
      <c r="J769" s="89"/>
      <c r="Q769" s="107"/>
    </row>
    <row r="770" spans="10:17" ht="12.75">
      <c r="J770" s="89"/>
      <c r="Q770" s="107"/>
    </row>
    <row r="771" spans="10:17" ht="12.75">
      <c r="J771" s="89"/>
      <c r="Q771" s="107"/>
    </row>
    <row r="772" spans="10:17" ht="12.75">
      <c r="J772" s="89"/>
      <c r="Q772" s="107"/>
    </row>
    <row r="773" spans="10:17" ht="12.75">
      <c r="J773" s="89"/>
      <c r="Q773" s="107"/>
    </row>
    <row r="774" spans="10:17" ht="12.75">
      <c r="J774" s="89"/>
      <c r="Q774" s="107"/>
    </row>
    <row r="775" spans="10:17" ht="12.75">
      <c r="J775" s="89"/>
      <c r="Q775" s="107"/>
    </row>
    <row r="776" spans="10:17" ht="12.75">
      <c r="J776" s="89"/>
      <c r="Q776" s="107"/>
    </row>
    <row r="777" spans="10:17" ht="12.75">
      <c r="J777" s="89"/>
      <c r="Q777" s="107"/>
    </row>
    <row r="778" spans="10:17" ht="12.75">
      <c r="J778" s="89"/>
      <c r="Q778" s="107"/>
    </row>
    <row r="779" spans="10:17" ht="12.75">
      <c r="J779" s="89"/>
      <c r="Q779" s="107"/>
    </row>
    <row r="780" spans="10:17" ht="12.75">
      <c r="J780" s="89"/>
      <c r="Q780" s="107"/>
    </row>
    <row r="781" spans="10:17" ht="12.75">
      <c r="J781" s="89"/>
      <c r="Q781" s="107"/>
    </row>
    <row r="782" spans="10:17" ht="12.75">
      <c r="J782" s="89"/>
      <c r="Q782" s="107"/>
    </row>
    <row r="783" spans="10:17" ht="12.75">
      <c r="J783" s="89"/>
      <c r="Q783" s="107"/>
    </row>
    <row r="784" spans="10:17" ht="12.75">
      <c r="J784" s="89"/>
      <c r="Q784" s="107"/>
    </row>
    <row r="785" spans="10:17" ht="12.75">
      <c r="J785" s="89"/>
      <c r="Q785" s="107"/>
    </row>
    <row r="786" spans="10:17" ht="12.75">
      <c r="J786" s="89"/>
      <c r="Q786" s="107"/>
    </row>
    <row r="787" spans="10:17" ht="12.75">
      <c r="J787" s="89"/>
      <c r="Q787" s="107"/>
    </row>
    <row r="788" spans="10:17" ht="12.75">
      <c r="J788" s="89"/>
      <c r="Q788" s="107"/>
    </row>
    <row r="789" spans="10:17" ht="12.75">
      <c r="J789" s="89"/>
      <c r="Q789" s="107"/>
    </row>
    <row r="790" spans="10:17" ht="12.75">
      <c r="J790" s="89"/>
      <c r="Q790" s="107"/>
    </row>
    <row r="791" spans="10:17" ht="12.75">
      <c r="J791" s="89"/>
      <c r="Q791" s="107"/>
    </row>
    <row r="792" spans="10:17" ht="12.75">
      <c r="J792" s="89"/>
      <c r="Q792" s="107"/>
    </row>
    <row r="793" spans="10:17" ht="12.75">
      <c r="J793" s="89"/>
      <c r="Q793" s="107"/>
    </row>
    <row r="794" spans="10:17" ht="12.75">
      <c r="J794" s="89"/>
      <c r="Q794" s="107"/>
    </row>
    <row r="795" spans="10:17" ht="12.75">
      <c r="J795" s="89"/>
      <c r="Q795" s="107"/>
    </row>
    <row r="796" spans="10:17" ht="12.75">
      <c r="J796" s="89"/>
      <c r="Q796" s="107"/>
    </row>
    <row r="797" spans="10:17" ht="12.75">
      <c r="J797" s="89"/>
      <c r="Q797" s="107"/>
    </row>
    <row r="798" spans="10:17" ht="12.75">
      <c r="J798" s="89"/>
      <c r="Q798" s="107"/>
    </row>
    <row r="799" spans="10:17" ht="12.75">
      <c r="J799" s="89"/>
      <c r="Q799" s="107"/>
    </row>
    <row r="800" spans="10:17" ht="12.75">
      <c r="J800" s="89"/>
      <c r="Q800" s="107"/>
    </row>
    <row r="801" spans="10:17" ht="12.75">
      <c r="J801" s="89"/>
      <c r="Q801" s="107"/>
    </row>
    <row r="802" spans="10:17" ht="12.75">
      <c r="J802" s="89"/>
      <c r="Q802" s="107"/>
    </row>
    <row r="803" spans="10:17" ht="12.75">
      <c r="J803" s="89"/>
      <c r="Q803" s="107"/>
    </row>
    <row r="804" spans="10:17" ht="12.75">
      <c r="J804" s="89"/>
      <c r="Q804" s="107"/>
    </row>
    <row r="805" spans="10:17" ht="12.75">
      <c r="J805" s="89"/>
      <c r="Q805" s="107"/>
    </row>
    <row r="806" spans="10:17" ht="12.75">
      <c r="J806" s="89"/>
      <c r="Q806" s="107"/>
    </row>
    <row r="807" spans="10:17" ht="12.75">
      <c r="J807" s="89"/>
      <c r="Q807" s="107"/>
    </row>
    <row r="808" spans="10:17" ht="12.75">
      <c r="J808" s="89"/>
      <c r="Q808" s="107"/>
    </row>
    <row r="809" spans="10:17" ht="12.75">
      <c r="J809" s="89"/>
      <c r="Q809" s="107"/>
    </row>
    <row r="810" spans="10:17" ht="12.75">
      <c r="J810" s="89"/>
      <c r="Q810" s="107"/>
    </row>
    <row r="811" spans="10:17" ht="12.75">
      <c r="J811" s="89"/>
      <c r="Q811" s="107"/>
    </row>
    <row r="812" spans="10:17" ht="12.75">
      <c r="J812" s="89"/>
      <c r="Q812" s="107"/>
    </row>
    <row r="813" spans="10:17" ht="12.75">
      <c r="J813" s="89"/>
      <c r="Q813" s="107"/>
    </row>
    <row r="814" spans="10:17" ht="12.75">
      <c r="J814" s="89"/>
      <c r="Q814" s="107"/>
    </row>
    <row r="815" spans="10:17" ht="12.75">
      <c r="J815" s="89"/>
      <c r="Q815" s="107"/>
    </row>
    <row r="816" spans="10:17" ht="12.75">
      <c r="J816" s="89"/>
      <c r="Q816" s="107"/>
    </row>
    <row r="817" spans="10:17" ht="12.75">
      <c r="J817" s="89"/>
      <c r="Q817" s="107"/>
    </row>
    <row r="818" spans="10:17" ht="12.75">
      <c r="J818" s="89"/>
      <c r="Q818" s="107"/>
    </row>
    <row r="819" spans="10:17" ht="12.75">
      <c r="J819" s="89"/>
      <c r="Q819" s="107"/>
    </row>
    <row r="820" spans="10:17" ht="12.75">
      <c r="J820" s="89"/>
      <c r="Q820" s="107"/>
    </row>
    <row r="821" spans="10:17" ht="12.75">
      <c r="J821" s="89"/>
      <c r="Q821" s="107"/>
    </row>
    <row r="822" spans="10:17" ht="12.75">
      <c r="J822" s="89"/>
      <c r="Q822" s="107"/>
    </row>
    <row r="823" spans="10:17" ht="12.75">
      <c r="J823" s="89"/>
      <c r="Q823" s="107"/>
    </row>
    <row r="824" spans="10:17" ht="12.75">
      <c r="J824" s="89"/>
      <c r="Q824" s="107"/>
    </row>
    <row r="825" spans="10:17" ht="12.75">
      <c r="J825" s="89"/>
      <c r="Q825" s="107"/>
    </row>
    <row r="826" spans="10:17" ht="12.75">
      <c r="J826" s="89"/>
      <c r="Q826" s="107"/>
    </row>
    <row r="827" spans="10:17" ht="12.75">
      <c r="J827" s="89"/>
      <c r="Q827" s="107"/>
    </row>
    <row r="828" spans="10:17" ht="12.75">
      <c r="J828" s="89"/>
      <c r="Q828" s="107"/>
    </row>
    <row r="829" spans="10:17" ht="12.75">
      <c r="J829" s="89"/>
      <c r="Q829" s="107"/>
    </row>
    <row r="830" spans="10:17" ht="12.75">
      <c r="J830" s="89"/>
      <c r="Q830" s="107"/>
    </row>
    <row r="831" spans="10:17" ht="12.75">
      <c r="J831" s="89"/>
      <c r="Q831" s="107"/>
    </row>
    <row r="832" spans="10:17" ht="12.75">
      <c r="J832" s="89"/>
      <c r="Q832" s="107"/>
    </row>
    <row r="833" spans="10:17" ht="12.75">
      <c r="J833" s="89"/>
      <c r="Q833" s="107"/>
    </row>
    <row r="834" spans="10:17" ht="12.75">
      <c r="J834" s="89"/>
      <c r="Q834" s="107"/>
    </row>
    <row r="835" spans="10:17" ht="12.75">
      <c r="J835" s="89"/>
      <c r="Q835" s="107"/>
    </row>
    <row r="836" spans="10:17" ht="12.75">
      <c r="J836" s="89"/>
      <c r="Q836" s="107"/>
    </row>
    <row r="837" spans="10:17" ht="12.75">
      <c r="J837" s="89"/>
      <c r="Q837" s="107"/>
    </row>
    <row r="838" spans="10:17" ht="12.75">
      <c r="J838" s="89"/>
      <c r="Q838" s="107"/>
    </row>
    <row r="839" spans="10:17" ht="12.75">
      <c r="J839" s="89"/>
      <c r="Q839" s="107"/>
    </row>
    <row r="840" spans="10:17" ht="12.75">
      <c r="J840" s="89"/>
      <c r="Q840" s="107"/>
    </row>
    <row r="841" spans="10:17" ht="12.75">
      <c r="J841" s="89"/>
      <c r="Q841" s="107"/>
    </row>
    <row r="842" spans="10:17" ht="12.75">
      <c r="J842" s="89"/>
      <c r="Q842" s="107"/>
    </row>
    <row r="843" spans="10:17" ht="12.75">
      <c r="J843" s="89"/>
      <c r="Q843" s="107"/>
    </row>
    <row r="844" spans="10:17" ht="12.75">
      <c r="J844" s="89"/>
      <c r="Q844" s="107"/>
    </row>
    <row r="845" spans="10:17" ht="12.75">
      <c r="J845" s="89"/>
      <c r="Q845" s="107"/>
    </row>
    <row r="846" spans="10:17" ht="12.75">
      <c r="J846" s="89"/>
      <c r="Q846" s="107"/>
    </row>
    <row r="847" spans="10:17" ht="12.75">
      <c r="J847" s="89"/>
      <c r="Q847" s="107"/>
    </row>
    <row r="848" spans="10:17" ht="12.75">
      <c r="J848" s="89"/>
      <c r="Q848" s="107"/>
    </row>
    <row r="849" spans="10:17" ht="12.75">
      <c r="J849" s="89"/>
      <c r="Q849" s="107"/>
    </row>
    <row r="850" spans="10:17" ht="12.75">
      <c r="J850" s="89"/>
      <c r="Q850" s="107"/>
    </row>
    <row r="851" spans="10:17" ht="12.75">
      <c r="J851" s="89"/>
      <c r="Q851" s="107"/>
    </row>
    <row r="852" spans="10:17" ht="12.75">
      <c r="J852" s="89"/>
      <c r="Q852" s="107"/>
    </row>
    <row r="853" spans="10:17" ht="12.75">
      <c r="J853" s="89"/>
      <c r="Q853" s="107"/>
    </row>
    <row r="854" spans="10:17" ht="12.75">
      <c r="J854" s="89"/>
      <c r="Q854" s="107"/>
    </row>
    <row r="855" spans="10:17" ht="12.75">
      <c r="J855" s="89"/>
      <c r="Q855" s="107"/>
    </row>
    <row r="856" spans="10:17" ht="12.75">
      <c r="J856" s="89"/>
      <c r="Q856" s="107"/>
    </row>
    <row r="857" spans="10:17" ht="12.75">
      <c r="J857" s="89"/>
      <c r="Q857" s="107"/>
    </row>
    <row r="858" spans="10:17" ht="12.75">
      <c r="J858" s="89"/>
      <c r="Q858" s="107"/>
    </row>
    <row r="859" spans="10:17" ht="12.75">
      <c r="J859" s="89"/>
      <c r="Q859" s="107"/>
    </row>
    <row r="860" spans="10:17" ht="12.75">
      <c r="J860" s="89"/>
      <c r="Q860" s="107"/>
    </row>
    <row r="861" spans="10:17" ht="12.75">
      <c r="J861" s="89"/>
      <c r="Q861" s="107"/>
    </row>
    <row r="862" spans="10:17" ht="12.75">
      <c r="J862" s="89"/>
      <c r="Q862" s="107"/>
    </row>
    <row r="863" spans="10:17" ht="12.75">
      <c r="J863" s="89"/>
      <c r="Q863" s="107"/>
    </row>
    <row r="864" spans="10:17" ht="12.75">
      <c r="J864" s="89"/>
      <c r="Q864" s="107"/>
    </row>
    <row r="865" spans="10:17" ht="12.75">
      <c r="J865" s="89"/>
      <c r="Q865" s="107"/>
    </row>
    <row r="866" spans="10:17" ht="12.75">
      <c r="J866" s="89"/>
      <c r="Q866" s="107"/>
    </row>
    <row r="867" spans="10:17" ht="12.75">
      <c r="J867" s="89"/>
      <c r="Q867" s="107"/>
    </row>
    <row r="868" spans="10:17" ht="12.75">
      <c r="J868" s="89"/>
      <c r="Q868" s="107"/>
    </row>
    <row r="869" spans="10:17" ht="12.75">
      <c r="J869" s="89"/>
      <c r="Q869" s="107"/>
    </row>
    <row r="870" spans="10:17" ht="12.75">
      <c r="J870" s="89"/>
      <c r="Q870" s="107"/>
    </row>
    <row r="871" spans="10:17" ht="12.75">
      <c r="J871" s="89"/>
      <c r="Q871" s="107"/>
    </row>
    <row r="872" spans="10:17" ht="12.75">
      <c r="J872" s="89"/>
      <c r="Q872" s="107"/>
    </row>
    <row r="873" spans="10:17" ht="12.75">
      <c r="J873" s="89"/>
      <c r="Q873" s="107"/>
    </row>
    <row r="874" spans="10:17" ht="12.75">
      <c r="J874" s="89"/>
      <c r="Q874" s="107"/>
    </row>
    <row r="875" spans="10:17" ht="12.75">
      <c r="J875" s="89"/>
      <c r="Q875" s="107"/>
    </row>
    <row r="876" spans="10:17" ht="12.75">
      <c r="J876" s="89"/>
      <c r="Q876" s="107"/>
    </row>
    <row r="877" spans="10:17" ht="12.75">
      <c r="J877" s="89"/>
      <c r="Q877" s="107"/>
    </row>
    <row r="878" spans="10:17" ht="12.75">
      <c r="J878" s="89"/>
      <c r="Q878" s="107"/>
    </row>
    <row r="879" spans="10:17" ht="12.75">
      <c r="J879" s="89"/>
      <c r="Q879" s="107"/>
    </row>
    <row r="880" spans="10:17" ht="12.75">
      <c r="J880" s="89"/>
      <c r="Q880" s="107"/>
    </row>
    <row r="881" spans="10:17" ht="12.75">
      <c r="J881" s="89"/>
      <c r="Q881" s="107"/>
    </row>
    <row r="882" spans="10:17" ht="12.75">
      <c r="J882" s="89"/>
      <c r="Q882" s="107"/>
    </row>
    <row r="883" spans="10:17" ht="12.75">
      <c r="J883" s="89"/>
      <c r="Q883" s="107"/>
    </row>
    <row r="884" spans="10:17" ht="12.75">
      <c r="J884" s="89"/>
      <c r="Q884" s="107"/>
    </row>
    <row r="885" spans="10:17" ht="12.75">
      <c r="J885" s="89"/>
      <c r="Q885" s="107"/>
    </row>
    <row r="886" spans="10:17" ht="12.75">
      <c r="J886" s="89"/>
      <c r="Q886" s="107"/>
    </row>
    <row r="887" spans="10:17" ht="12.75">
      <c r="J887" s="89"/>
      <c r="Q887" s="107"/>
    </row>
    <row r="888" spans="10:17" ht="12.75">
      <c r="J888" s="89"/>
      <c r="Q888" s="107"/>
    </row>
    <row r="889" spans="10:17" ht="12.75">
      <c r="J889" s="89"/>
      <c r="Q889" s="107"/>
    </row>
    <row r="890" spans="10:17" ht="12.75">
      <c r="J890" s="89"/>
      <c r="Q890" s="107"/>
    </row>
    <row r="891" spans="10:17" ht="12.75">
      <c r="J891" s="89"/>
      <c r="Q891" s="107"/>
    </row>
    <row r="892" spans="10:17" ht="12.75">
      <c r="J892" s="89"/>
      <c r="Q892" s="107"/>
    </row>
    <row r="893" spans="10:17" ht="12.75">
      <c r="J893" s="89"/>
      <c r="Q893" s="107"/>
    </row>
    <row r="894" spans="10:17" ht="12.75">
      <c r="J894" s="89"/>
      <c r="Q894" s="107"/>
    </row>
    <row r="895" spans="10:17" ht="12.75">
      <c r="J895" s="89"/>
      <c r="Q895" s="107"/>
    </row>
    <row r="896" spans="10:17" ht="12.75">
      <c r="J896" s="89"/>
      <c r="Q896" s="107"/>
    </row>
    <row r="897" spans="10:17" ht="12.75">
      <c r="J897" s="89"/>
      <c r="Q897" s="107"/>
    </row>
    <row r="898" spans="10:17" ht="12.75">
      <c r="J898" s="89"/>
      <c r="Q898" s="107"/>
    </row>
    <row r="899" spans="10:17" ht="12.75">
      <c r="J899" s="89"/>
      <c r="Q899" s="107"/>
    </row>
    <row r="900" spans="10:17" ht="12.75">
      <c r="J900" s="89"/>
      <c r="Q900" s="107"/>
    </row>
    <row r="901" spans="10:17" ht="12.75">
      <c r="J901" s="89"/>
      <c r="Q901" s="107"/>
    </row>
    <row r="902" spans="10:17" ht="12.75">
      <c r="J902" s="89"/>
      <c r="Q902" s="107"/>
    </row>
    <row r="903" spans="10:17" ht="12.75">
      <c r="J903" s="89"/>
      <c r="Q903" s="107"/>
    </row>
    <row r="904" spans="10:17" ht="12.75">
      <c r="J904" s="89"/>
      <c r="Q904" s="107"/>
    </row>
    <row r="905" spans="10:17" ht="12.75">
      <c r="J905" s="89"/>
      <c r="Q905" s="107"/>
    </row>
    <row r="906" spans="10:17" ht="12.75">
      <c r="J906" s="89"/>
      <c r="Q906" s="107"/>
    </row>
    <row r="907" spans="10:17" ht="12.75">
      <c r="J907" s="89"/>
      <c r="Q907" s="107"/>
    </row>
    <row r="908" spans="10:17" ht="12.75">
      <c r="J908" s="89"/>
      <c r="Q908" s="107"/>
    </row>
    <row r="909" spans="10:17" ht="12.75">
      <c r="J909" s="89"/>
      <c r="Q909" s="107"/>
    </row>
    <row r="910" spans="10:17" ht="12.75">
      <c r="J910" s="89"/>
      <c r="Q910" s="107"/>
    </row>
    <row r="911" spans="10:17" ht="12.75">
      <c r="J911" s="89"/>
      <c r="Q911" s="107"/>
    </row>
    <row r="912" spans="10:17" ht="12.75">
      <c r="J912" s="89"/>
      <c r="Q912" s="107"/>
    </row>
    <row r="913" spans="10:17" ht="12.75">
      <c r="J913" s="89"/>
      <c r="Q913" s="107"/>
    </row>
    <row r="914" spans="10:17" ht="12.75">
      <c r="J914" s="89"/>
      <c r="Q914" s="107"/>
    </row>
    <row r="915" spans="10:17" ht="12.75">
      <c r="J915" s="89"/>
      <c r="Q915" s="107"/>
    </row>
    <row r="916" spans="10:17" ht="12.75">
      <c r="J916" s="89"/>
      <c r="Q916" s="107"/>
    </row>
    <row r="917" spans="10:17" ht="12.75">
      <c r="J917" s="89"/>
      <c r="Q917" s="107"/>
    </row>
    <row r="918" spans="10:17" ht="12.75">
      <c r="J918" s="89"/>
      <c r="Q918" s="107"/>
    </row>
    <row r="919" spans="10:17" ht="12.75">
      <c r="J919" s="89"/>
      <c r="Q919" s="107"/>
    </row>
    <row r="920" spans="10:17" ht="12.75">
      <c r="J920" s="89"/>
      <c r="Q920" s="107"/>
    </row>
    <row r="921" spans="10:17" ht="12.75">
      <c r="J921" s="89"/>
      <c r="Q921" s="107"/>
    </row>
    <row r="922" spans="10:17" ht="12.75">
      <c r="J922" s="89"/>
      <c r="Q922" s="107"/>
    </row>
    <row r="923" spans="10:17" ht="12.75">
      <c r="J923" s="89"/>
      <c r="Q923" s="107"/>
    </row>
    <row r="924" spans="10:17" ht="12.75">
      <c r="J924" s="89"/>
      <c r="Q924" s="107"/>
    </row>
    <row r="925" spans="10:17" ht="12.75">
      <c r="J925" s="89"/>
      <c r="Q925" s="107"/>
    </row>
    <row r="926" spans="10:17" ht="12.75">
      <c r="J926" s="89"/>
      <c r="Q926" s="107"/>
    </row>
    <row r="927" spans="10:17" ht="12.75">
      <c r="J927" s="89"/>
      <c r="Q927" s="107"/>
    </row>
    <row r="928" spans="10:17" ht="12.75">
      <c r="J928" s="89"/>
      <c r="Q928" s="107"/>
    </row>
    <row r="929" spans="10:17" ht="12.75">
      <c r="J929" s="89"/>
      <c r="Q929" s="107"/>
    </row>
    <row r="930" spans="10:17" ht="12.75">
      <c r="J930" s="89"/>
      <c r="Q930" s="107"/>
    </row>
    <row r="931" spans="10:17" ht="12.75">
      <c r="J931" s="89"/>
      <c r="Q931" s="107"/>
    </row>
    <row r="932" spans="10:17" ht="12.75">
      <c r="J932" s="89"/>
      <c r="Q932" s="107"/>
    </row>
    <row r="933" spans="10:17" ht="12.75">
      <c r="J933" s="89"/>
      <c r="Q933" s="107"/>
    </row>
    <row r="934" spans="10:17" ht="12.75">
      <c r="J934" s="89"/>
      <c r="Q934" s="107"/>
    </row>
    <row r="935" spans="10:17" ht="12.75">
      <c r="J935" s="89"/>
      <c r="Q935" s="107"/>
    </row>
    <row r="936" spans="10:17" ht="12.75">
      <c r="J936" s="89"/>
      <c r="Q936" s="107"/>
    </row>
    <row r="937" spans="10:17" ht="12.75">
      <c r="J937" s="89"/>
      <c r="Q937" s="107"/>
    </row>
    <row r="938" spans="10:17" ht="12.75">
      <c r="J938" s="89"/>
      <c r="Q938" s="107"/>
    </row>
    <row r="939" spans="10:17" ht="12.75">
      <c r="J939" s="89"/>
      <c r="Q939" s="107"/>
    </row>
    <row r="940" spans="10:17" ht="12.75">
      <c r="J940" s="89"/>
      <c r="Q940" s="107"/>
    </row>
    <row r="941" spans="10:17" ht="12.75">
      <c r="J941" s="89"/>
      <c r="Q941" s="107"/>
    </row>
    <row r="942" spans="10:17" ht="12.75">
      <c r="J942" s="89"/>
      <c r="Q942" s="107"/>
    </row>
    <row r="943" spans="10:17" ht="12.75">
      <c r="J943" s="89"/>
      <c r="Q943" s="107"/>
    </row>
    <row r="944" spans="10:17" ht="12.75">
      <c r="J944" s="89"/>
      <c r="Q944" s="107"/>
    </row>
    <row r="945" spans="10:17" ht="12.75">
      <c r="J945" s="89"/>
      <c r="Q945" s="107"/>
    </row>
    <row r="946" spans="10:17" ht="12.75">
      <c r="J946" s="89"/>
      <c r="Q946" s="107"/>
    </row>
    <row r="947" spans="10:17" ht="12.75">
      <c r="J947" s="89"/>
      <c r="Q947" s="107"/>
    </row>
    <row r="948" spans="10:17" ht="12.75">
      <c r="J948" s="89"/>
      <c r="Q948" s="107"/>
    </row>
    <row r="949" spans="10:17" ht="12.75">
      <c r="J949" s="89"/>
      <c r="Q949" s="107"/>
    </row>
    <row r="950" spans="10:17" ht="12.75">
      <c r="J950" s="89"/>
      <c r="Q950" s="107"/>
    </row>
    <row r="951" spans="10:17" ht="12.75">
      <c r="J951" s="89"/>
      <c r="Q951" s="107"/>
    </row>
    <row r="952" spans="10:17" ht="12.75">
      <c r="J952" s="89"/>
      <c r="Q952" s="107"/>
    </row>
    <row r="953" spans="10:17" ht="12.75">
      <c r="J953" s="89"/>
      <c r="Q953" s="107"/>
    </row>
    <row r="954" spans="10:17" ht="12.75">
      <c r="J954" s="89"/>
      <c r="Q954" s="107"/>
    </row>
    <row r="955" spans="10:17" ht="12.75">
      <c r="J955" s="89"/>
      <c r="Q955" s="107"/>
    </row>
    <row r="956" spans="10:17" ht="12.75">
      <c r="J956" s="89"/>
      <c r="Q956" s="107"/>
    </row>
    <row r="957" spans="10:17" ht="12.75">
      <c r="J957" s="89"/>
      <c r="Q957" s="107"/>
    </row>
    <row r="958" spans="10:17" ht="12.75">
      <c r="J958" s="89"/>
      <c r="Q958" s="107"/>
    </row>
    <row r="959" spans="10:17" ht="12.75">
      <c r="J959" s="89"/>
      <c r="Q959" s="107"/>
    </row>
    <row r="960" spans="10:17" ht="12.75">
      <c r="J960" s="89"/>
      <c r="Q960" s="107"/>
    </row>
    <row r="961" spans="10:17" ht="12.75">
      <c r="J961" s="89"/>
      <c r="Q961" s="107"/>
    </row>
    <row r="962" spans="10:17" ht="12.75">
      <c r="J962" s="89"/>
      <c r="Q962" s="107"/>
    </row>
    <row r="963" spans="10:17" ht="12.75">
      <c r="J963" s="89"/>
      <c r="Q963" s="107"/>
    </row>
    <row r="964" spans="10:17" ht="12.75">
      <c r="J964" s="89"/>
      <c r="Q964" s="107"/>
    </row>
    <row r="965" spans="10:17" ht="12.75">
      <c r="J965" s="89"/>
      <c r="Q965" s="107"/>
    </row>
    <row r="966" spans="10:17" ht="12.75">
      <c r="J966" s="89"/>
      <c r="Q966" s="107"/>
    </row>
    <row r="967" spans="10:17" ht="12.75">
      <c r="J967" s="89"/>
      <c r="Q967" s="107"/>
    </row>
    <row r="968" spans="10:17" ht="12.75">
      <c r="J968" s="89"/>
      <c r="Q968" s="107"/>
    </row>
    <row r="969" spans="10:17" ht="12.75">
      <c r="J969" s="89"/>
      <c r="Q969" s="107"/>
    </row>
    <row r="970" spans="10:17" ht="12.75">
      <c r="J970" s="89"/>
      <c r="Q970" s="107"/>
    </row>
    <row r="971" spans="10:17" ht="12.75">
      <c r="J971" s="89"/>
      <c r="Q971" s="107"/>
    </row>
    <row r="972" spans="10:17" ht="12.75">
      <c r="J972" s="89"/>
      <c r="Q972" s="107"/>
    </row>
    <row r="973" spans="10:17" ht="12.75">
      <c r="J973" s="89"/>
      <c r="Q973" s="107"/>
    </row>
    <row r="974" spans="10:17" ht="12.75">
      <c r="J974" s="89"/>
      <c r="Q974" s="107"/>
    </row>
    <row r="975" spans="10:17" ht="12.75">
      <c r="J975" s="89"/>
      <c r="Q975" s="107"/>
    </row>
    <row r="976" spans="10:17" ht="12.75">
      <c r="J976" s="89"/>
      <c r="Q976" s="107"/>
    </row>
    <row r="977" spans="10:17" ht="12.75">
      <c r="J977" s="89"/>
      <c r="Q977" s="107"/>
    </row>
    <row r="978" spans="10:17" ht="12.75">
      <c r="J978" s="89"/>
      <c r="Q978" s="107"/>
    </row>
    <row r="979" spans="10:17" ht="12.75">
      <c r="J979" s="89"/>
      <c r="Q979" s="107"/>
    </row>
    <row r="980" spans="10:17" ht="12.75">
      <c r="J980" s="89"/>
      <c r="Q980" s="107"/>
    </row>
    <row r="981" spans="10:17" ht="12.75">
      <c r="J981" s="89"/>
      <c r="Q981" s="107"/>
    </row>
    <row r="982" spans="10:17" ht="12.75">
      <c r="J982" s="89"/>
      <c r="Q982" s="107"/>
    </row>
    <row r="983" spans="10:17" ht="12.75">
      <c r="J983" s="89"/>
      <c r="Q983" s="107"/>
    </row>
    <row r="984" spans="10:17" ht="12.75">
      <c r="J984" s="89"/>
      <c r="Q984" s="107"/>
    </row>
    <row r="985" spans="10:17" ht="12.75">
      <c r="J985" s="89"/>
      <c r="Q985" s="107"/>
    </row>
    <row r="986" spans="10:17" ht="12.75">
      <c r="J986" s="89"/>
      <c r="Q986" s="107"/>
    </row>
    <row r="987" spans="10:17" ht="12.75">
      <c r="J987" s="89"/>
      <c r="Q987" s="107"/>
    </row>
    <row r="988" spans="10:17" ht="12.75">
      <c r="J988" s="89"/>
      <c r="Q988" s="107"/>
    </row>
    <row r="989" spans="10:17" ht="12.75">
      <c r="J989" s="89"/>
      <c r="Q989" s="107"/>
    </row>
    <row r="990" spans="10:17" ht="12.75">
      <c r="J990" s="89"/>
      <c r="Q990" s="107"/>
    </row>
    <row r="991" spans="10:17" ht="12.75">
      <c r="J991" s="89"/>
      <c r="Q991" s="107"/>
    </row>
    <row r="992" spans="10:17" ht="12.75">
      <c r="J992" s="89"/>
      <c r="Q992" s="107"/>
    </row>
    <row r="993" spans="10:17" ht="12.75">
      <c r="J993" s="89"/>
      <c r="Q993" s="107"/>
    </row>
    <row r="994" spans="10:17" ht="12.75">
      <c r="J994" s="89"/>
      <c r="Q994" s="107"/>
    </row>
    <row r="995" spans="10:17" ht="12.75">
      <c r="J995" s="89"/>
      <c r="Q995" s="107"/>
    </row>
    <row r="996" spans="10:17" ht="12.75">
      <c r="J996" s="89"/>
      <c r="Q996" s="107"/>
    </row>
    <row r="997" spans="10:17" ht="12.75">
      <c r="J997" s="89"/>
      <c r="Q997" s="107"/>
    </row>
    <row r="998" spans="10:17" ht="12.75">
      <c r="J998" s="89"/>
      <c r="Q998" s="107"/>
    </row>
    <row r="999" spans="10:17" ht="12.75">
      <c r="J999" s="89"/>
      <c r="Q999" s="107"/>
    </row>
    <row r="1000" spans="10:17" ht="12.75">
      <c r="J1000" s="89"/>
      <c r="Q1000" s="107"/>
    </row>
    <row r="1001" spans="10:17" ht="12.75">
      <c r="J1001" s="89"/>
      <c r="Q1001" s="107"/>
    </row>
  </sheetData>
  <mergeCells count="4">
    <mergeCell ref="A1:D1"/>
    <mergeCell ref="A9:D9"/>
    <mergeCell ref="A19:D19"/>
    <mergeCell ref="A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"/>
  <sheetViews>
    <sheetView workbookViewId="0">
      <selection sqref="A1:D1"/>
    </sheetView>
  </sheetViews>
  <sheetFormatPr baseColWidth="10" defaultColWidth="14.42578125" defaultRowHeight="15.75" customHeight="1"/>
  <cols>
    <col min="1" max="1" width="26.42578125" customWidth="1"/>
    <col min="3" max="3" width="17.42578125" customWidth="1"/>
    <col min="6" max="6" width="18.42578125" customWidth="1"/>
    <col min="7" max="7" width="19.5703125" customWidth="1"/>
    <col min="8" max="8" width="11.42578125" customWidth="1"/>
    <col min="9" max="9" width="10.7109375" customWidth="1"/>
    <col min="10" max="11" width="16.85546875" customWidth="1"/>
    <col min="12" max="12" width="13.140625" customWidth="1"/>
    <col min="13" max="13" width="13.7109375" customWidth="1"/>
    <col min="14" max="14" width="11.28515625" customWidth="1"/>
    <col min="15" max="15" width="16.7109375" customWidth="1"/>
    <col min="16" max="17" width="16.28515625" customWidth="1"/>
    <col min="18" max="18" width="4.7109375" customWidth="1"/>
    <col min="19" max="19" width="19.140625" customWidth="1"/>
    <col min="20" max="20" width="7.140625" customWidth="1"/>
    <col min="21" max="21" width="17.42578125" customWidth="1"/>
    <col min="22" max="22" width="15.7109375" customWidth="1"/>
  </cols>
  <sheetData>
    <row r="1" spans="1:26" ht="15.75" customHeight="1">
      <c r="A1" s="138" t="s">
        <v>0</v>
      </c>
      <c r="B1" s="139"/>
      <c r="C1" s="139"/>
      <c r="D1" s="140"/>
      <c r="F1" s="64" t="s">
        <v>1</v>
      </c>
      <c r="G1" s="64" t="s">
        <v>2</v>
      </c>
      <c r="H1" s="64" t="s">
        <v>3</v>
      </c>
      <c r="I1" s="64" t="s">
        <v>4</v>
      </c>
      <c r="J1" s="64" t="s">
        <v>5</v>
      </c>
      <c r="K1" s="64" t="s">
        <v>6</v>
      </c>
      <c r="L1" s="64" t="s">
        <v>7</v>
      </c>
      <c r="M1" s="64" t="s">
        <v>8</v>
      </c>
      <c r="N1" s="64" t="s">
        <v>9</v>
      </c>
      <c r="O1" s="64" t="s">
        <v>10</v>
      </c>
      <c r="P1" s="64" t="s">
        <v>11</v>
      </c>
      <c r="Q1" s="64" t="s">
        <v>12</v>
      </c>
      <c r="R1" s="64" t="s">
        <v>13</v>
      </c>
      <c r="S1" s="64" t="s">
        <v>14</v>
      </c>
      <c r="T1" s="64" t="s">
        <v>15</v>
      </c>
      <c r="U1" s="64" t="s">
        <v>16</v>
      </c>
      <c r="V1" s="64" t="s">
        <v>17</v>
      </c>
      <c r="W1" s="64" t="s">
        <v>18</v>
      </c>
      <c r="X1" s="64" t="s">
        <v>19</v>
      </c>
      <c r="Y1" s="64" t="s">
        <v>49</v>
      </c>
      <c r="Z1" s="64" t="s">
        <v>54</v>
      </c>
    </row>
    <row r="2" spans="1:26" ht="15.75" customHeight="1">
      <c r="A2" s="2" t="s">
        <v>20</v>
      </c>
      <c r="B2" s="3">
        <v>6336</v>
      </c>
      <c r="D2" s="4"/>
      <c r="F2" s="5"/>
      <c r="G2" s="123" t="s">
        <v>160</v>
      </c>
      <c r="H2" s="124">
        <v>43915</v>
      </c>
      <c r="I2" s="125">
        <v>0.71250000000000002</v>
      </c>
      <c r="J2" s="12">
        <v>0</v>
      </c>
      <c r="K2" s="12">
        <v>242.94</v>
      </c>
      <c r="L2" s="12">
        <v>125.84</v>
      </c>
      <c r="M2" s="12">
        <v>117.1</v>
      </c>
      <c r="N2" s="12">
        <v>248</v>
      </c>
      <c r="O2" s="12">
        <v>1097.4000000000001</v>
      </c>
      <c r="P2" s="12">
        <v>23.5</v>
      </c>
      <c r="Q2" s="12">
        <v>20</v>
      </c>
      <c r="R2" s="12">
        <v>3.45</v>
      </c>
      <c r="S2" s="12">
        <v>92</v>
      </c>
      <c r="T2" s="12">
        <v>14.917</v>
      </c>
      <c r="U2" s="12">
        <v>527</v>
      </c>
      <c r="V2" s="12">
        <v>15</v>
      </c>
      <c r="W2" s="12">
        <v>38</v>
      </c>
      <c r="X2" s="12" t="s">
        <v>29</v>
      </c>
      <c r="Y2" s="12" t="s">
        <v>29</v>
      </c>
      <c r="Z2" s="13">
        <v>11</v>
      </c>
    </row>
    <row r="3" spans="1:26" ht="15.75" customHeight="1">
      <c r="A3" s="2" t="s">
        <v>21</v>
      </c>
      <c r="B3" s="14">
        <v>3290</v>
      </c>
      <c r="C3" s="14" t="s">
        <v>22</v>
      </c>
      <c r="D3" s="15">
        <v>3433</v>
      </c>
      <c r="F3" s="16"/>
      <c r="G3" s="17" t="s">
        <v>172</v>
      </c>
      <c r="H3" s="126">
        <v>43916</v>
      </c>
      <c r="I3" s="127">
        <v>0.37986111111111109</v>
      </c>
      <c r="J3" s="21">
        <f>54+(24-18)*60+9*60+7</f>
        <v>961</v>
      </c>
      <c r="K3" s="21">
        <v>195.42</v>
      </c>
      <c r="L3" s="21">
        <v>94.83</v>
      </c>
      <c r="M3" s="21">
        <v>100.59</v>
      </c>
      <c r="N3" s="21">
        <v>224</v>
      </c>
      <c r="O3" s="21">
        <v>1090.7</v>
      </c>
      <c r="P3" s="21">
        <v>22.3</v>
      </c>
      <c r="Q3" s="128">
        <v>22.1</v>
      </c>
      <c r="R3" s="21" t="s">
        <v>29</v>
      </c>
      <c r="S3" s="21">
        <v>130</v>
      </c>
      <c r="T3" s="21">
        <v>11.878</v>
      </c>
      <c r="U3" s="21">
        <v>560</v>
      </c>
      <c r="V3" s="21" t="s">
        <v>29</v>
      </c>
      <c r="W3" s="21" t="s">
        <v>29</v>
      </c>
      <c r="X3" s="21" t="s">
        <v>29</v>
      </c>
      <c r="Y3" s="21" t="s">
        <v>29</v>
      </c>
      <c r="Z3" s="46" t="s">
        <v>29</v>
      </c>
    </row>
    <row r="4" spans="1:26" ht="15.75" customHeight="1">
      <c r="A4" s="2" t="s">
        <v>23</v>
      </c>
      <c r="B4" s="14">
        <v>3135</v>
      </c>
      <c r="D4" s="4"/>
      <c r="F4" s="23"/>
      <c r="G4" s="17" t="s">
        <v>173</v>
      </c>
      <c r="H4" s="126">
        <v>43916</v>
      </c>
      <c r="I4" s="127">
        <v>0.68958333333333333</v>
      </c>
      <c r="J4" s="21"/>
      <c r="K4" s="21">
        <v>192.53</v>
      </c>
      <c r="L4" s="21">
        <v>102.32</v>
      </c>
      <c r="M4" s="21">
        <v>90.21</v>
      </c>
      <c r="N4" s="21">
        <v>176</v>
      </c>
      <c r="O4" s="21">
        <v>1089.2</v>
      </c>
      <c r="P4" s="21">
        <v>22</v>
      </c>
      <c r="Q4" s="21">
        <v>26.02</v>
      </c>
      <c r="R4" s="21" t="s">
        <v>29</v>
      </c>
      <c r="S4" s="21">
        <v>176</v>
      </c>
      <c r="T4" s="21">
        <v>14.302</v>
      </c>
      <c r="U4" s="21">
        <v>646</v>
      </c>
      <c r="V4" s="21" t="s">
        <v>29</v>
      </c>
      <c r="W4" s="21" t="s">
        <v>29</v>
      </c>
      <c r="X4" s="21" t="s">
        <v>29</v>
      </c>
      <c r="Y4" s="21" t="s">
        <v>29</v>
      </c>
      <c r="Z4" s="22" t="s">
        <v>29</v>
      </c>
    </row>
    <row r="5" spans="1:26" ht="15.75" customHeight="1">
      <c r="A5" s="2" t="s">
        <v>24</v>
      </c>
      <c r="B5">
        <f>(D3/B2)*100</f>
        <v>54.182449494949495</v>
      </c>
      <c r="C5">
        <f>(B4/B2)*100</f>
        <v>49.479166666666671</v>
      </c>
      <c r="D5" s="4">
        <f>100-B5-C5</f>
        <v>-3.6616161616161662</v>
      </c>
      <c r="F5" s="16"/>
      <c r="G5" s="17" t="s">
        <v>174</v>
      </c>
      <c r="H5" s="126">
        <v>43917</v>
      </c>
      <c r="I5" s="127">
        <v>0.5083333333333333</v>
      </c>
      <c r="J5" s="128"/>
      <c r="K5" s="128">
        <v>150.05000000000001</v>
      </c>
      <c r="L5" s="128">
        <v>72.38</v>
      </c>
      <c r="M5" s="21">
        <v>77.680000000000007</v>
      </c>
      <c r="N5" s="21">
        <v>25</v>
      </c>
      <c r="O5" s="21">
        <v>1067</v>
      </c>
      <c r="P5" s="21">
        <v>16.899999999999999</v>
      </c>
      <c r="Q5" s="128">
        <v>26.2</v>
      </c>
      <c r="R5" s="21" t="s">
        <v>29</v>
      </c>
      <c r="S5" s="21">
        <v>334</v>
      </c>
      <c r="T5" s="21">
        <v>25.763000000000002</v>
      </c>
      <c r="U5" s="21">
        <v>845</v>
      </c>
      <c r="V5" s="21" t="s">
        <v>29</v>
      </c>
      <c r="W5" s="21" t="s">
        <v>29</v>
      </c>
      <c r="X5" s="21" t="s">
        <v>29</v>
      </c>
      <c r="Y5" s="21" t="s">
        <v>29</v>
      </c>
      <c r="Z5" s="22" t="s">
        <v>29</v>
      </c>
    </row>
    <row r="6" spans="1:26" ht="15.75" customHeight="1">
      <c r="A6" s="26" t="s">
        <v>25</v>
      </c>
      <c r="B6" s="27"/>
      <c r="C6" s="28" t="s">
        <v>26</v>
      </c>
      <c r="D6" s="27">
        <v>2500</v>
      </c>
      <c r="F6" s="23"/>
      <c r="G6" s="17" t="s">
        <v>175</v>
      </c>
      <c r="H6" s="126">
        <v>43917</v>
      </c>
      <c r="I6" s="127">
        <v>0.63194444444444442</v>
      </c>
      <c r="J6" s="128"/>
      <c r="K6" s="128">
        <v>133.93</v>
      </c>
      <c r="L6" s="21">
        <v>63.2</v>
      </c>
      <c r="M6" s="21">
        <v>70.73</v>
      </c>
      <c r="N6" s="21">
        <v>27</v>
      </c>
      <c r="O6" s="21">
        <v>1061.4000000000001</v>
      </c>
      <c r="P6" s="129">
        <v>15.6</v>
      </c>
      <c r="Q6" s="21">
        <v>25.76</v>
      </c>
      <c r="R6" s="21" t="s">
        <v>29</v>
      </c>
      <c r="S6" s="21">
        <v>334</v>
      </c>
      <c r="T6" s="30">
        <v>25.199000000000002</v>
      </c>
      <c r="U6" s="21">
        <v>847</v>
      </c>
      <c r="V6" s="21" t="s">
        <v>29</v>
      </c>
      <c r="W6" s="21" t="s">
        <v>29</v>
      </c>
      <c r="X6" s="21" t="s">
        <v>29</v>
      </c>
      <c r="Y6" s="21" t="s">
        <v>29</v>
      </c>
      <c r="Z6" s="22" t="s">
        <v>29</v>
      </c>
    </row>
    <row r="7" spans="1:26" ht="15.75" customHeight="1">
      <c r="F7" s="23"/>
      <c r="G7" s="17" t="s">
        <v>176</v>
      </c>
      <c r="H7" s="126">
        <v>43918</v>
      </c>
      <c r="I7" s="127">
        <v>0.59861111111111109</v>
      </c>
      <c r="J7" s="21"/>
      <c r="K7" s="21">
        <v>89.63</v>
      </c>
      <c r="L7" s="21">
        <v>35.93</v>
      </c>
      <c r="M7" s="21">
        <v>53.7</v>
      </c>
      <c r="N7" s="21">
        <v>21</v>
      </c>
      <c r="O7" s="129">
        <v>1039.2</v>
      </c>
      <c r="P7" s="129">
        <v>10.4</v>
      </c>
      <c r="Q7" s="128">
        <v>25.83</v>
      </c>
      <c r="R7" s="21" t="s">
        <v>29</v>
      </c>
      <c r="S7" s="21">
        <v>326</v>
      </c>
      <c r="T7" s="21">
        <v>18.327999999999999</v>
      </c>
      <c r="U7" s="21">
        <v>841</v>
      </c>
      <c r="V7" s="21" t="s">
        <v>29</v>
      </c>
      <c r="W7" s="21" t="s">
        <v>29</v>
      </c>
      <c r="X7" s="21" t="s">
        <v>29</v>
      </c>
      <c r="Y7" s="21" t="s">
        <v>29</v>
      </c>
      <c r="Z7" s="22" t="s">
        <v>29</v>
      </c>
    </row>
    <row r="8" spans="1:26" ht="15.75" customHeight="1">
      <c r="F8" s="23"/>
      <c r="G8" s="17" t="s">
        <v>177</v>
      </c>
      <c r="H8" s="126">
        <v>43918</v>
      </c>
      <c r="I8" s="127">
        <v>0.61041666666666672</v>
      </c>
      <c r="J8" s="21"/>
      <c r="K8" s="21">
        <v>89.63</v>
      </c>
      <c r="L8" s="21">
        <v>35.93</v>
      </c>
      <c r="M8" s="21">
        <v>53.7</v>
      </c>
      <c r="N8" s="21">
        <v>79</v>
      </c>
      <c r="O8" s="129">
        <v>1039.2</v>
      </c>
      <c r="P8" s="129">
        <v>10.4</v>
      </c>
      <c r="Q8" s="128">
        <v>25.83</v>
      </c>
      <c r="R8" s="21" t="s">
        <v>29</v>
      </c>
      <c r="S8" s="21">
        <v>326</v>
      </c>
      <c r="T8" s="21">
        <v>18.327999999999999</v>
      </c>
      <c r="U8" s="21">
        <v>841</v>
      </c>
      <c r="V8" s="21" t="s">
        <v>29</v>
      </c>
      <c r="W8" s="21" t="s">
        <v>29</v>
      </c>
      <c r="X8" s="21" t="s">
        <v>29</v>
      </c>
      <c r="Y8" s="21" t="s">
        <v>29</v>
      </c>
      <c r="Z8" s="22" t="s">
        <v>29</v>
      </c>
    </row>
    <row r="9" spans="1:26" ht="15.75" customHeight="1">
      <c r="A9" s="138" t="s">
        <v>27</v>
      </c>
      <c r="B9" s="139"/>
      <c r="C9" s="139"/>
      <c r="D9" s="140"/>
      <c r="F9" s="23"/>
      <c r="G9" s="17" t="s">
        <v>178</v>
      </c>
      <c r="H9" s="126">
        <v>43919</v>
      </c>
      <c r="I9" s="127">
        <v>0.76249999999999996</v>
      </c>
      <c r="J9" s="21"/>
      <c r="K9" s="21">
        <v>47.18</v>
      </c>
      <c r="L9" s="21">
        <v>9.66</v>
      </c>
      <c r="M9" s="128">
        <v>37.520000000000003</v>
      </c>
      <c r="N9" s="21">
        <v>46</v>
      </c>
      <c r="O9" s="129">
        <v>1017.2</v>
      </c>
      <c r="P9" s="129">
        <v>4.8</v>
      </c>
      <c r="Q9" s="128">
        <v>22</v>
      </c>
      <c r="R9" s="30" t="s">
        <v>29</v>
      </c>
      <c r="S9" s="21">
        <v>322</v>
      </c>
      <c r="T9" s="21">
        <v>16.353999999999999</v>
      </c>
      <c r="U9" s="21">
        <v>852</v>
      </c>
      <c r="V9" s="21" t="s">
        <v>29</v>
      </c>
      <c r="W9" s="21" t="s">
        <v>29</v>
      </c>
      <c r="X9" s="21" t="s">
        <v>29</v>
      </c>
      <c r="Y9" s="21" t="s">
        <v>29</v>
      </c>
      <c r="Z9" s="22" t="s">
        <v>29</v>
      </c>
    </row>
    <row r="10" spans="1:26" ht="15.75" customHeight="1">
      <c r="A10" s="74" t="s">
        <v>10</v>
      </c>
      <c r="B10" s="86">
        <v>1099.7</v>
      </c>
      <c r="C10" s="86">
        <v>1099.2</v>
      </c>
      <c r="D10" s="87">
        <v>1097.4000000000001</v>
      </c>
      <c r="F10" s="23"/>
      <c r="G10" s="17" t="s">
        <v>179</v>
      </c>
      <c r="H10" s="126">
        <v>43920</v>
      </c>
      <c r="I10" s="127">
        <v>0.44444444444444442</v>
      </c>
      <c r="J10" s="21"/>
      <c r="K10" s="21">
        <v>28.43</v>
      </c>
      <c r="L10" s="21">
        <v>3.13</v>
      </c>
      <c r="M10" s="128">
        <v>25.3</v>
      </c>
      <c r="N10" s="21">
        <v>50</v>
      </c>
      <c r="O10" s="21">
        <v>1007.3</v>
      </c>
      <c r="P10" s="21">
        <v>2.2000000000000002</v>
      </c>
      <c r="Q10" s="21">
        <v>25.85</v>
      </c>
      <c r="R10" s="21" t="s">
        <v>29</v>
      </c>
      <c r="S10" s="21">
        <v>317</v>
      </c>
      <c r="T10" s="21">
        <v>14.961</v>
      </c>
      <c r="U10" s="21">
        <v>863</v>
      </c>
      <c r="V10" s="21" t="s">
        <v>29</v>
      </c>
      <c r="W10" s="21" t="s">
        <v>29</v>
      </c>
      <c r="X10" s="21" t="s">
        <v>29</v>
      </c>
      <c r="Y10" s="21" t="s">
        <v>29</v>
      </c>
      <c r="Z10" s="22" t="s">
        <v>29</v>
      </c>
    </row>
    <row r="11" spans="1:26" ht="15.75" customHeight="1">
      <c r="A11" s="2" t="s">
        <v>68</v>
      </c>
      <c r="C11" s="77">
        <v>70</v>
      </c>
      <c r="D11" s="78">
        <v>60</v>
      </c>
      <c r="F11" s="23"/>
      <c r="G11" s="17" t="s">
        <v>180</v>
      </c>
      <c r="H11" s="126">
        <v>43920</v>
      </c>
      <c r="I11" s="127">
        <v>0.68055555555555558</v>
      </c>
      <c r="J11" s="21"/>
      <c r="K11" s="21">
        <v>22.67</v>
      </c>
      <c r="L11" s="21">
        <v>1.71</v>
      </c>
      <c r="M11" s="21">
        <v>20.96</v>
      </c>
      <c r="N11" s="21">
        <v>48</v>
      </c>
      <c r="O11" s="129">
        <v>1003.7</v>
      </c>
      <c r="P11" s="21">
        <v>1.5</v>
      </c>
      <c r="Q11" s="21">
        <v>26.09</v>
      </c>
      <c r="R11" s="21" t="s">
        <v>29</v>
      </c>
      <c r="S11" s="21">
        <v>304</v>
      </c>
      <c r="T11" s="21">
        <v>13.968999999999999</v>
      </c>
      <c r="U11" s="21">
        <v>841</v>
      </c>
      <c r="V11" s="21" t="s">
        <v>29</v>
      </c>
      <c r="W11" s="21" t="s">
        <v>29</v>
      </c>
      <c r="X11" s="21" t="s">
        <v>29</v>
      </c>
      <c r="Y11" s="21" t="s">
        <v>29</v>
      </c>
      <c r="Z11" s="22" t="s">
        <v>29</v>
      </c>
    </row>
    <row r="12" spans="1:26" ht="15.75" customHeight="1">
      <c r="A12" s="2" t="s">
        <v>11</v>
      </c>
      <c r="B12" s="14">
        <v>24</v>
      </c>
      <c r="C12" s="14">
        <v>23.9</v>
      </c>
      <c r="D12" s="15">
        <v>23.5</v>
      </c>
      <c r="F12" s="16"/>
      <c r="G12" s="17" t="s">
        <v>181</v>
      </c>
      <c r="H12" s="126">
        <v>43921</v>
      </c>
      <c r="I12" s="127">
        <v>0.35138888888888886</v>
      </c>
      <c r="J12" s="21"/>
      <c r="K12" s="21">
        <v>10.61</v>
      </c>
      <c r="L12" s="21">
        <v>0.05</v>
      </c>
      <c r="M12" s="21">
        <v>10.56</v>
      </c>
      <c r="N12" s="21">
        <v>51</v>
      </c>
      <c r="O12" s="21">
        <v>997.2</v>
      </c>
      <c r="P12" s="21">
        <v>-0.3</v>
      </c>
      <c r="Q12" s="21">
        <v>20.9</v>
      </c>
      <c r="R12" s="21" t="s">
        <v>29</v>
      </c>
      <c r="S12" s="21">
        <v>300</v>
      </c>
      <c r="T12" s="21">
        <v>12.170999999999999</v>
      </c>
      <c r="U12" s="21">
        <v>816</v>
      </c>
      <c r="V12" s="21" t="s">
        <v>29</v>
      </c>
      <c r="W12" s="21" t="s">
        <v>29</v>
      </c>
      <c r="X12" s="21" t="s">
        <v>29</v>
      </c>
      <c r="Y12" s="21" t="s">
        <v>29</v>
      </c>
      <c r="Z12" s="22" t="s">
        <v>29</v>
      </c>
    </row>
    <row r="13" spans="1:26" ht="15.75" customHeight="1">
      <c r="A13" s="2" t="s">
        <v>13</v>
      </c>
      <c r="B13" s="14">
        <v>4</v>
      </c>
      <c r="D13" s="4"/>
      <c r="F13" s="40"/>
      <c r="G13" s="17" t="s">
        <v>182</v>
      </c>
      <c r="H13" s="126">
        <v>43921</v>
      </c>
      <c r="I13" s="127">
        <v>0.66805555555555551</v>
      </c>
      <c r="J13" s="21"/>
      <c r="K13" s="21">
        <v>4.08</v>
      </c>
      <c r="L13" s="21">
        <v>0.18</v>
      </c>
      <c r="M13" s="21">
        <v>4.62</v>
      </c>
      <c r="N13" s="21">
        <v>25</v>
      </c>
      <c r="O13" s="21">
        <v>995.2</v>
      </c>
      <c r="P13" s="21">
        <v>-0.7</v>
      </c>
      <c r="Q13" s="21">
        <v>26.07</v>
      </c>
      <c r="R13" s="21" t="s">
        <v>29</v>
      </c>
      <c r="S13" s="21">
        <v>303</v>
      </c>
      <c r="T13" s="21">
        <v>12.117000000000001</v>
      </c>
      <c r="U13" s="21">
        <v>837</v>
      </c>
      <c r="V13" s="21" t="s">
        <v>29</v>
      </c>
      <c r="W13" s="21" t="s">
        <v>29</v>
      </c>
      <c r="X13" s="21" t="s">
        <v>29</v>
      </c>
      <c r="Y13" s="21" t="s">
        <v>29</v>
      </c>
      <c r="Z13" s="46" t="s">
        <v>29</v>
      </c>
    </row>
    <row r="14" spans="1:26" ht="15.75" customHeight="1">
      <c r="A14" s="2" t="s">
        <v>77</v>
      </c>
      <c r="B14" s="81">
        <v>44048</v>
      </c>
      <c r="D14" s="4"/>
      <c r="F14" s="82" t="s">
        <v>78</v>
      </c>
      <c r="G14" s="36" t="s">
        <v>183</v>
      </c>
      <c r="H14" s="130">
        <v>43922</v>
      </c>
      <c r="I14" s="131">
        <v>0.34652777777777777</v>
      </c>
      <c r="J14" s="38"/>
      <c r="K14" s="38">
        <v>1.6</v>
      </c>
      <c r="L14" s="38">
        <v>0.02</v>
      </c>
      <c r="M14" s="38">
        <v>1.58</v>
      </c>
      <c r="N14" s="38">
        <v>23</v>
      </c>
      <c r="O14" s="38">
        <v>994.6</v>
      </c>
      <c r="P14" s="38">
        <v>-1.1000000000000001</v>
      </c>
      <c r="Q14" s="38">
        <v>18</v>
      </c>
      <c r="R14" s="38" t="s">
        <v>29</v>
      </c>
      <c r="S14" s="38">
        <v>287</v>
      </c>
      <c r="T14" s="38">
        <v>8.9209999999999994</v>
      </c>
      <c r="U14" s="38">
        <v>836</v>
      </c>
      <c r="V14" s="38" t="s">
        <v>29</v>
      </c>
      <c r="W14" s="38" t="s">
        <v>29</v>
      </c>
      <c r="X14" s="38">
        <v>1.1399999999999999</v>
      </c>
      <c r="Y14" s="38">
        <v>0.09</v>
      </c>
      <c r="Z14" s="39">
        <v>8.1</v>
      </c>
    </row>
    <row r="15" spans="1:26" ht="15.75" customHeight="1">
      <c r="A15" s="2" t="s">
        <v>28</v>
      </c>
      <c r="B15" s="14">
        <v>0</v>
      </c>
      <c r="D15" s="15">
        <v>15</v>
      </c>
      <c r="F15" s="40"/>
      <c r="G15" s="41" t="s">
        <v>184</v>
      </c>
      <c r="H15" s="132">
        <v>43922</v>
      </c>
      <c r="I15" s="133"/>
      <c r="J15" s="134"/>
      <c r="K15" s="134"/>
      <c r="L15" s="134"/>
      <c r="M15" s="134"/>
      <c r="N15" s="134"/>
      <c r="O15" s="134"/>
      <c r="P15" s="134"/>
      <c r="Q15" s="134"/>
      <c r="R15" s="45" t="s">
        <v>29</v>
      </c>
      <c r="S15" s="134"/>
      <c r="T15" s="134"/>
      <c r="U15" s="134"/>
      <c r="V15" s="134"/>
      <c r="W15" s="134"/>
      <c r="X15" s="45">
        <v>1.1399999999999999</v>
      </c>
      <c r="Y15" s="45">
        <v>0.09</v>
      </c>
      <c r="Z15" s="135"/>
    </row>
    <row r="16" spans="1:26" ht="15.75" customHeight="1">
      <c r="A16" s="2" t="s">
        <v>30</v>
      </c>
      <c r="B16" s="14">
        <v>7</v>
      </c>
      <c r="D16" s="15">
        <v>38</v>
      </c>
      <c r="F16" s="16"/>
      <c r="G16" s="41" t="s">
        <v>185</v>
      </c>
      <c r="H16" s="126">
        <v>43934</v>
      </c>
      <c r="I16" s="136"/>
      <c r="J16" s="52"/>
      <c r="K16" s="52"/>
      <c r="L16" s="52"/>
      <c r="M16" s="52"/>
      <c r="N16" s="52"/>
      <c r="O16" s="52"/>
      <c r="P16" s="52"/>
      <c r="Q16" s="52"/>
      <c r="R16" s="21">
        <v>3.42</v>
      </c>
      <c r="S16" s="52"/>
      <c r="T16" s="52"/>
      <c r="U16" s="52"/>
      <c r="V16" s="52"/>
      <c r="W16" s="52"/>
      <c r="X16" s="21">
        <v>0.35</v>
      </c>
      <c r="Y16" s="21">
        <v>0.23</v>
      </c>
      <c r="Z16" s="53"/>
    </row>
    <row r="17" spans="1:26" ht="15.75" customHeight="1">
      <c r="A17" s="47" t="s">
        <v>31</v>
      </c>
      <c r="B17" s="48">
        <v>164</v>
      </c>
      <c r="C17" s="49"/>
      <c r="D17" s="50"/>
      <c r="F17" s="82" t="s">
        <v>83</v>
      </c>
      <c r="G17" s="36" t="s">
        <v>186</v>
      </c>
      <c r="H17" s="130">
        <v>43941</v>
      </c>
      <c r="I17" s="137"/>
      <c r="J17" s="55"/>
      <c r="K17" s="55"/>
      <c r="L17" s="55"/>
      <c r="M17" s="55"/>
      <c r="N17" s="55"/>
      <c r="O17" s="55"/>
      <c r="P17" s="55"/>
      <c r="Q17" s="55"/>
      <c r="R17" s="38">
        <v>3.42</v>
      </c>
      <c r="S17" s="55"/>
      <c r="T17" s="55"/>
      <c r="U17" s="55"/>
      <c r="V17" s="55"/>
      <c r="W17" s="55"/>
      <c r="X17" s="38">
        <v>0.03</v>
      </c>
      <c r="Y17" s="38">
        <v>0.28999999999999998</v>
      </c>
      <c r="Z17" s="56"/>
    </row>
    <row r="19" spans="1:26" ht="15.75" customHeight="1">
      <c r="A19" s="138" t="s">
        <v>32</v>
      </c>
      <c r="B19" s="139"/>
      <c r="C19" s="139"/>
      <c r="D19" s="140"/>
    </row>
    <row r="20" spans="1:26" ht="15.75" customHeight="1">
      <c r="A20" s="74" t="s">
        <v>33</v>
      </c>
      <c r="B20" s="86">
        <v>3.45</v>
      </c>
      <c r="C20" s="84"/>
      <c r="D20" s="87"/>
    </row>
    <row r="21" spans="1:26" ht="15.75" customHeight="1">
      <c r="A21" s="2" t="s">
        <v>187</v>
      </c>
      <c r="B21" s="14">
        <v>5</v>
      </c>
      <c r="C21" s="14">
        <v>17.100000000000001</v>
      </c>
      <c r="D21" s="57">
        <v>3.59</v>
      </c>
      <c r="F21" s="14" t="s">
        <v>96</v>
      </c>
      <c r="G21" s="89">
        <f>(G22/G23)*100</f>
        <v>45.614035087719301</v>
      </c>
    </row>
    <row r="22" spans="1:26" ht="15.75" customHeight="1">
      <c r="A22" s="2" t="s">
        <v>188</v>
      </c>
      <c r="B22" s="81">
        <v>44048</v>
      </c>
      <c r="D22" s="88">
        <v>43991</v>
      </c>
      <c r="F22" s="14" t="s">
        <v>97</v>
      </c>
      <c r="G22">
        <f>B26</f>
        <v>1.56</v>
      </c>
    </row>
    <row r="23" spans="1:26" ht="15.75" customHeight="1">
      <c r="A23" s="2" t="s">
        <v>92</v>
      </c>
      <c r="B23" s="14">
        <v>2</v>
      </c>
      <c r="C23" s="14">
        <v>6.84</v>
      </c>
      <c r="D23" s="57">
        <v>3.45</v>
      </c>
      <c r="F23" s="14" t="s">
        <v>100</v>
      </c>
      <c r="G23">
        <f>(B3+C11+D11)/1000</f>
        <v>3.42</v>
      </c>
    </row>
    <row r="24" spans="1:26" ht="15.75" customHeight="1">
      <c r="A24" s="2" t="s">
        <v>95</v>
      </c>
      <c r="B24" s="81">
        <v>43991</v>
      </c>
      <c r="D24" s="78">
        <v>11</v>
      </c>
    </row>
    <row r="25" spans="1:26" ht="15.75" customHeight="1">
      <c r="A25" s="2" t="s">
        <v>36</v>
      </c>
      <c r="B25" s="14">
        <v>250</v>
      </c>
      <c r="D25" s="15">
        <v>164</v>
      </c>
    </row>
    <row r="26" spans="1:26" ht="15.75" customHeight="1">
      <c r="A26" s="2" t="s">
        <v>99</v>
      </c>
      <c r="B26" s="14">
        <v>1.56</v>
      </c>
      <c r="D26" s="15">
        <v>248</v>
      </c>
    </row>
    <row r="27" spans="1:26" ht="15.75" customHeight="1">
      <c r="A27" s="2" t="s">
        <v>39</v>
      </c>
      <c r="B27" s="14">
        <v>5</v>
      </c>
      <c r="C27" s="14">
        <v>3.42</v>
      </c>
      <c r="D27" s="4"/>
    </row>
    <row r="28" spans="1:26" ht="15.75" customHeight="1">
      <c r="A28" s="47" t="s">
        <v>40</v>
      </c>
      <c r="B28" s="48">
        <v>20</v>
      </c>
      <c r="C28" s="48"/>
      <c r="D28" s="50"/>
    </row>
    <row r="30" spans="1:26" ht="15.75" customHeight="1">
      <c r="A30" s="138" t="s">
        <v>41</v>
      </c>
      <c r="B30" s="139"/>
      <c r="C30" s="139"/>
      <c r="D30" s="140"/>
    </row>
    <row r="31" spans="1:26" ht="15.75" customHeight="1">
      <c r="A31" s="2" t="s">
        <v>42</v>
      </c>
      <c r="B31" s="14" t="s">
        <v>43</v>
      </c>
      <c r="C31" s="14" t="s">
        <v>44</v>
      </c>
      <c r="D31" s="15" t="s">
        <v>45</v>
      </c>
    </row>
    <row r="32" spans="1:26" ht="15.75" customHeight="1">
      <c r="A32" s="2" t="s">
        <v>46</v>
      </c>
      <c r="B32" s="14">
        <v>2</v>
      </c>
      <c r="C32" s="14">
        <v>2</v>
      </c>
      <c r="D32" s="15">
        <v>3</v>
      </c>
    </row>
    <row r="33" spans="1:4" ht="15.75" customHeight="1">
      <c r="A33" s="2" t="s">
        <v>47</v>
      </c>
      <c r="B33" s="14">
        <v>2</v>
      </c>
      <c r="C33" s="14">
        <v>1</v>
      </c>
      <c r="D33" s="15">
        <v>2</v>
      </c>
    </row>
    <row r="34" spans="1:4" ht="15.75" customHeight="1">
      <c r="A34" s="47" t="s">
        <v>48</v>
      </c>
      <c r="B34" s="48">
        <v>2</v>
      </c>
      <c r="C34" s="48">
        <v>1</v>
      </c>
      <c r="D34" s="58">
        <v>1</v>
      </c>
    </row>
  </sheetData>
  <mergeCells count="4">
    <mergeCell ref="A1:D1"/>
    <mergeCell ref="A9:D9"/>
    <mergeCell ref="A19:D19"/>
    <mergeCell ref="A30:D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35"/>
  <sheetViews>
    <sheetView workbookViewId="0"/>
  </sheetViews>
  <sheetFormatPr baseColWidth="10" defaultColWidth="14.42578125" defaultRowHeight="15.75" customHeight="1"/>
  <cols>
    <col min="1" max="1" width="26.42578125" customWidth="1"/>
    <col min="3" max="3" width="17.42578125" customWidth="1"/>
    <col min="6" max="7" width="18.42578125" customWidth="1"/>
    <col min="8" max="8" width="11.42578125" customWidth="1"/>
    <col min="9" max="9" width="10.7109375" customWidth="1"/>
    <col min="10" max="11" width="16.85546875" customWidth="1"/>
    <col min="12" max="12" width="13.140625" customWidth="1"/>
    <col min="13" max="13" width="13.7109375" customWidth="1"/>
    <col min="14" max="14" width="11.28515625" customWidth="1"/>
    <col min="15" max="15" width="16.7109375" customWidth="1"/>
    <col min="16" max="17" width="16.28515625" customWidth="1"/>
    <col min="18" max="18" width="4.7109375" customWidth="1"/>
    <col min="19" max="19" width="19.140625" customWidth="1"/>
    <col min="20" max="20" width="7.140625" customWidth="1"/>
    <col min="21" max="21" width="17.42578125" customWidth="1"/>
    <col min="22" max="22" width="15.7109375" customWidth="1"/>
  </cols>
  <sheetData>
    <row r="1" spans="1:25" ht="15.75" customHeight="1">
      <c r="A1" s="138" t="s">
        <v>0</v>
      </c>
      <c r="B1" s="139"/>
      <c r="C1" s="139"/>
      <c r="D1" s="140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49</v>
      </c>
    </row>
    <row r="2" spans="1:25" ht="15.75" customHeight="1">
      <c r="A2" s="2" t="s">
        <v>20</v>
      </c>
      <c r="B2" s="3">
        <v>7122</v>
      </c>
      <c r="D2" s="4"/>
      <c r="F2" s="5"/>
      <c r="G2" s="6" t="s">
        <v>50</v>
      </c>
      <c r="H2" s="7">
        <v>43922</v>
      </c>
      <c r="I2" s="8"/>
      <c r="J2" s="8">
        <v>0.61805555555555558</v>
      </c>
      <c r="K2" s="6">
        <v>208.1</v>
      </c>
      <c r="L2" s="6">
        <v>109.45</v>
      </c>
      <c r="M2" s="6">
        <v>98.64</v>
      </c>
      <c r="N2" s="6">
        <v>233</v>
      </c>
      <c r="O2" s="6">
        <v>1097.2</v>
      </c>
      <c r="P2" s="6">
        <v>23.5</v>
      </c>
      <c r="Q2" s="6">
        <v>26.32</v>
      </c>
      <c r="R2" s="10">
        <v>3.47</v>
      </c>
      <c r="S2" s="6">
        <v>63</v>
      </c>
      <c r="T2" s="11">
        <v>12.180999999999999</v>
      </c>
      <c r="U2" s="6">
        <v>529</v>
      </c>
      <c r="V2" s="12">
        <v>24</v>
      </c>
      <c r="W2" s="12">
        <v>39</v>
      </c>
      <c r="X2" s="59" t="s">
        <v>29</v>
      </c>
      <c r="Y2" s="13" t="s">
        <v>29</v>
      </c>
    </row>
    <row r="3" spans="1:25" ht="15.75" customHeight="1">
      <c r="A3" s="2" t="s">
        <v>21</v>
      </c>
      <c r="B3" s="14">
        <v>4020</v>
      </c>
      <c r="C3" s="14" t="s">
        <v>22</v>
      </c>
      <c r="D3" s="15">
        <v>4543</v>
      </c>
      <c r="F3" s="16"/>
      <c r="G3" s="17" t="s">
        <v>51</v>
      </c>
      <c r="H3" s="24">
        <v>43923</v>
      </c>
      <c r="I3" s="19"/>
      <c r="J3" s="19">
        <v>0.42986111111111114</v>
      </c>
      <c r="K3" s="17">
        <v>192.25</v>
      </c>
      <c r="L3" s="17">
        <v>94.04</v>
      </c>
      <c r="M3" s="17">
        <v>98.21</v>
      </c>
      <c r="N3" s="17">
        <v>229</v>
      </c>
      <c r="O3" s="17">
        <v>1089.9000000000001</v>
      </c>
      <c r="P3" s="17">
        <v>22.4</v>
      </c>
      <c r="Q3" s="17">
        <v>29.24</v>
      </c>
      <c r="R3" s="17" t="s">
        <v>29</v>
      </c>
      <c r="S3" s="17">
        <v>270</v>
      </c>
      <c r="T3" s="21">
        <v>17.972000000000001</v>
      </c>
      <c r="U3" s="17">
        <v>784</v>
      </c>
      <c r="V3" s="21" t="s">
        <v>29</v>
      </c>
      <c r="W3" s="21" t="s">
        <v>29</v>
      </c>
      <c r="X3" s="60" t="s">
        <v>29</v>
      </c>
      <c r="Y3" s="22" t="s">
        <v>29</v>
      </c>
    </row>
    <row r="4" spans="1:25" ht="15.75" customHeight="1">
      <c r="A4" s="2" t="s">
        <v>23</v>
      </c>
      <c r="B4" s="14">
        <v>2360</v>
      </c>
      <c r="D4" s="4"/>
      <c r="F4" s="23"/>
      <c r="G4" s="17" t="s">
        <v>52</v>
      </c>
      <c r="H4" s="24">
        <v>43923</v>
      </c>
      <c r="I4" s="19"/>
      <c r="J4" s="61">
        <v>0.66041666666666665</v>
      </c>
      <c r="K4" s="62">
        <v>185.11</v>
      </c>
      <c r="L4" s="62">
        <v>89.16</v>
      </c>
      <c r="M4" s="62">
        <v>95.95</v>
      </c>
      <c r="N4" s="62">
        <v>147</v>
      </c>
      <c r="O4" s="62">
        <v>1085.4000000000001</v>
      </c>
      <c r="P4" s="62">
        <v>21.1</v>
      </c>
      <c r="Q4" s="62">
        <v>28.88</v>
      </c>
      <c r="R4" s="62" t="s">
        <v>29</v>
      </c>
      <c r="S4" s="62">
        <v>286</v>
      </c>
      <c r="T4" s="63">
        <v>14.589</v>
      </c>
      <c r="U4" s="62">
        <v>807</v>
      </c>
      <c r="V4" s="63" t="s">
        <v>29</v>
      </c>
      <c r="W4" s="21" t="s">
        <v>29</v>
      </c>
      <c r="X4" s="60" t="s">
        <v>29</v>
      </c>
      <c r="Y4" s="22" t="s">
        <v>29</v>
      </c>
    </row>
    <row r="5" spans="1:25" ht="15.75" customHeight="1">
      <c r="A5" s="2" t="s">
        <v>24</v>
      </c>
      <c r="B5">
        <f>(D3/B2)*100</f>
        <v>63.788261724234765</v>
      </c>
      <c r="C5">
        <f>(B4/B2)*100</f>
        <v>33.136759337264813</v>
      </c>
      <c r="D5" s="4">
        <f>100-B5-C5</f>
        <v>3.074978938500422</v>
      </c>
      <c r="F5" s="16"/>
      <c r="G5" s="17" t="s">
        <v>53</v>
      </c>
      <c r="H5" s="24">
        <v>43924</v>
      </c>
      <c r="I5" s="65"/>
      <c r="J5" s="19">
        <v>0.39652777777777776</v>
      </c>
      <c r="K5" s="17">
        <v>134.35</v>
      </c>
      <c r="L5" s="17">
        <v>62.22</v>
      </c>
      <c r="M5" s="17">
        <v>72.14</v>
      </c>
      <c r="N5" s="17">
        <v>29</v>
      </c>
      <c r="O5" s="17">
        <v>1063.7</v>
      </c>
      <c r="P5" s="17">
        <v>16.100000000000001</v>
      </c>
      <c r="Q5" s="20">
        <v>26.34</v>
      </c>
      <c r="R5" s="17" t="s">
        <v>29</v>
      </c>
      <c r="S5" s="17">
        <v>416</v>
      </c>
      <c r="T5" s="67">
        <v>22920</v>
      </c>
      <c r="U5" s="17">
        <v>1027</v>
      </c>
      <c r="V5" s="21" t="s">
        <v>29</v>
      </c>
      <c r="W5" s="69" t="s">
        <v>29</v>
      </c>
      <c r="X5" s="60" t="s">
        <v>29</v>
      </c>
      <c r="Y5" s="22" t="s">
        <v>29</v>
      </c>
    </row>
    <row r="6" spans="1:25" ht="15.75" customHeight="1">
      <c r="A6" s="26" t="s">
        <v>25</v>
      </c>
      <c r="B6" s="27"/>
      <c r="C6" s="28" t="s">
        <v>26</v>
      </c>
      <c r="D6" s="27">
        <v>2500</v>
      </c>
      <c r="F6" s="23"/>
      <c r="G6" s="17" t="s">
        <v>57</v>
      </c>
      <c r="H6" s="24">
        <v>43924</v>
      </c>
      <c r="I6" s="19"/>
      <c r="J6" s="43">
        <v>0.63888888888888884</v>
      </c>
      <c r="K6" s="72">
        <v>131.47</v>
      </c>
      <c r="L6" s="72">
        <v>54.39</v>
      </c>
      <c r="M6" s="41">
        <v>77.08</v>
      </c>
      <c r="N6" s="41">
        <v>46</v>
      </c>
      <c r="O6" s="41">
        <v>1056.5</v>
      </c>
      <c r="P6" s="41">
        <v>14.5</v>
      </c>
      <c r="Q6" s="72">
        <v>26.16</v>
      </c>
      <c r="R6" s="41" t="s">
        <v>29</v>
      </c>
      <c r="S6" s="41">
        <v>469</v>
      </c>
      <c r="T6" s="45">
        <v>27.007999999999999</v>
      </c>
      <c r="U6" s="41">
        <v>1123</v>
      </c>
      <c r="V6" s="45" t="s">
        <v>29</v>
      </c>
      <c r="W6" s="21" t="s">
        <v>29</v>
      </c>
      <c r="X6" s="60" t="s">
        <v>29</v>
      </c>
      <c r="Y6" s="22" t="s">
        <v>29</v>
      </c>
    </row>
    <row r="7" spans="1:25" ht="15.75" customHeight="1">
      <c r="F7" s="23"/>
      <c r="G7" s="17" t="s">
        <v>59</v>
      </c>
      <c r="H7" s="24">
        <v>43924</v>
      </c>
      <c r="I7" s="19"/>
      <c r="J7" s="43">
        <v>0.65138888888888891</v>
      </c>
      <c r="K7" s="72">
        <v>131.47</v>
      </c>
      <c r="L7" s="72">
        <v>54.39</v>
      </c>
      <c r="M7" s="41">
        <v>77.08</v>
      </c>
      <c r="N7" s="41">
        <v>69</v>
      </c>
      <c r="O7" s="41">
        <v>1056.5</v>
      </c>
      <c r="P7" s="41">
        <v>14.5</v>
      </c>
      <c r="Q7" s="72">
        <v>26.16</v>
      </c>
      <c r="R7" s="41" t="s">
        <v>29</v>
      </c>
      <c r="S7" s="41">
        <v>469</v>
      </c>
      <c r="T7" s="45">
        <v>27.007999999999999</v>
      </c>
      <c r="U7" s="41">
        <v>1123</v>
      </c>
      <c r="V7" s="45" t="s">
        <v>29</v>
      </c>
      <c r="W7" s="21" t="s">
        <v>29</v>
      </c>
      <c r="X7" s="60" t="s">
        <v>29</v>
      </c>
      <c r="Y7" s="22" t="s">
        <v>29</v>
      </c>
    </row>
    <row r="8" spans="1:25" ht="15.75" customHeight="1">
      <c r="F8" s="23"/>
      <c r="G8" s="17" t="s">
        <v>60</v>
      </c>
      <c r="H8" s="24">
        <v>43925</v>
      </c>
      <c r="I8" s="19"/>
      <c r="J8" s="19">
        <v>0.57430555555555551</v>
      </c>
      <c r="K8" s="17">
        <v>85.18</v>
      </c>
      <c r="L8" s="17">
        <v>26.41</v>
      </c>
      <c r="M8" s="17">
        <v>58.77</v>
      </c>
      <c r="N8" s="17">
        <v>43</v>
      </c>
      <c r="O8" s="29">
        <v>1034.2</v>
      </c>
      <c r="P8" s="29">
        <v>9.1</v>
      </c>
      <c r="Q8" s="20">
        <v>25.38</v>
      </c>
      <c r="R8" s="17" t="s">
        <v>29</v>
      </c>
      <c r="S8" s="17">
        <v>382</v>
      </c>
      <c r="T8" s="21">
        <v>14.766999999999999</v>
      </c>
      <c r="U8" s="17">
        <v>1061</v>
      </c>
      <c r="V8" s="21" t="s">
        <v>29</v>
      </c>
      <c r="W8" s="21" t="s">
        <v>29</v>
      </c>
      <c r="X8" s="60" t="s">
        <v>29</v>
      </c>
      <c r="Y8" s="22" t="s">
        <v>29</v>
      </c>
    </row>
    <row r="9" spans="1:25" ht="15.75" customHeight="1">
      <c r="A9" s="138" t="s">
        <v>27</v>
      </c>
      <c r="B9" s="139"/>
      <c r="C9" s="139"/>
      <c r="D9" s="140"/>
      <c r="F9" s="23"/>
      <c r="G9" s="17" t="s">
        <v>61</v>
      </c>
      <c r="H9" s="24">
        <v>43926</v>
      </c>
      <c r="I9" s="19"/>
      <c r="J9" s="19">
        <v>0.55972222222222223</v>
      </c>
      <c r="K9" s="17">
        <v>54.38</v>
      </c>
      <c r="L9" s="17">
        <v>11.04</v>
      </c>
      <c r="M9" s="20">
        <v>43.45</v>
      </c>
      <c r="N9" s="17">
        <v>43</v>
      </c>
      <c r="O9" s="29">
        <v>1017.6</v>
      </c>
      <c r="P9" s="29">
        <v>5.0999999999999996</v>
      </c>
      <c r="Q9" s="17">
        <v>25.25</v>
      </c>
      <c r="R9" s="17" t="s">
        <v>29</v>
      </c>
      <c r="S9" s="17">
        <v>398</v>
      </c>
      <c r="T9" s="21">
        <v>13.064</v>
      </c>
      <c r="U9" s="17">
        <v>1111</v>
      </c>
      <c r="V9" s="21" t="s">
        <v>29</v>
      </c>
      <c r="W9" s="21" t="s">
        <v>29</v>
      </c>
      <c r="X9" s="60" t="s">
        <v>29</v>
      </c>
      <c r="Y9" s="22" t="s">
        <v>29</v>
      </c>
    </row>
    <row r="10" spans="1:25" ht="15.75" customHeight="1">
      <c r="A10" s="74" t="s">
        <v>10</v>
      </c>
      <c r="B10" s="75" t="s">
        <v>63</v>
      </c>
      <c r="C10" s="75" t="s">
        <v>64</v>
      </c>
      <c r="D10" s="76" t="s">
        <v>65</v>
      </c>
      <c r="F10" s="23"/>
      <c r="G10" s="17" t="s">
        <v>66</v>
      </c>
      <c r="H10" s="24">
        <v>43927</v>
      </c>
      <c r="I10" s="19"/>
      <c r="J10" s="19">
        <v>0.41875000000000001</v>
      </c>
      <c r="K10" s="17">
        <v>31.97</v>
      </c>
      <c r="L10" s="17">
        <v>4.3099999999999996</v>
      </c>
      <c r="M10" s="20">
        <v>27.66</v>
      </c>
      <c r="N10" s="17">
        <v>44</v>
      </c>
      <c r="O10" s="29">
        <v>1008.5</v>
      </c>
      <c r="P10" s="29">
        <v>2.7</v>
      </c>
      <c r="Q10" s="20">
        <v>26.6</v>
      </c>
      <c r="R10" s="31" t="s">
        <v>29</v>
      </c>
      <c r="S10" s="17">
        <v>415</v>
      </c>
      <c r="T10" s="21">
        <v>12.238</v>
      </c>
      <c r="U10" s="17">
        <v>1265</v>
      </c>
      <c r="V10" s="21" t="s">
        <v>29</v>
      </c>
      <c r="W10" s="21" t="s">
        <v>29</v>
      </c>
      <c r="X10" s="60" t="s">
        <v>29</v>
      </c>
      <c r="Y10" s="22" t="s">
        <v>29</v>
      </c>
    </row>
    <row r="11" spans="1:25" ht="15.75" customHeight="1">
      <c r="A11" s="2" t="s">
        <v>68</v>
      </c>
      <c r="C11" s="77">
        <v>290</v>
      </c>
      <c r="D11" s="78">
        <v>60</v>
      </c>
      <c r="F11" s="23"/>
      <c r="G11" s="17" t="s">
        <v>70</v>
      </c>
      <c r="H11" s="24">
        <v>43927</v>
      </c>
      <c r="I11" s="19"/>
      <c r="J11" s="19">
        <v>0.68819444444444444</v>
      </c>
      <c r="K11" s="17">
        <v>25.57</v>
      </c>
      <c r="L11" s="17">
        <v>3.34</v>
      </c>
      <c r="M11" s="20">
        <v>22.43</v>
      </c>
      <c r="N11" s="17">
        <v>20</v>
      </c>
      <c r="O11" s="17">
        <v>1005.8</v>
      </c>
      <c r="P11" s="17">
        <v>2</v>
      </c>
      <c r="Q11" s="17">
        <v>25.32</v>
      </c>
      <c r="R11" s="17" t="s">
        <v>29</v>
      </c>
      <c r="S11" s="17">
        <v>415</v>
      </c>
      <c r="T11" s="21">
        <v>12.021000000000001</v>
      </c>
      <c r="U11" s="17">
        <v>1165</v>
      </c>
      <c r="V11" s="21" t="s">
        <v>29</v>
      </c>
      <c r="W11" s="21" t="s">
        <v>29</v>
      </c>
      <c r="X11" s="60" t="s">
        <v>29</v>
      </c>
      <c r="Y11" s="22" t="s">
        <v>29</v>
      </c>
    </row>
    <row r="12" spans="1:25" ht="15.75" customHeight="1">
      <c r="A12" s="2" t="s">
        <v>11</v>
      </c>
      <c r="B12" s="79">
        <v>43886</v>
      </c>
      <c r="C12" s="79">
        <v>44066</v>
      </c>
      <c r="D12" s="80">
        <v>43974</v>
      </c>
      <c r="F12" s="23"/>
      <c r="G12" s="17" t="s">
        <v>72</v>
      </c>
      <c r="H12" s="24">
        <v>43928</v>
      </c>
      <c r="I12" s="19"/>
      <c r="J12" s="19">
        <v>0.37847222222222221</v>
      </c>
      <c r="K12" s="17">
        <v>15.32</v>
      </c>
      <c r="L12" s="17">
        <v>2.23</v>
      </c>
      <c r="M12" s="17">
        <v>13.1</v>
      </c>
      <c r="N12" s="17">
        <v>19</v>
      </c>
      <c r="O12" s="29">
        <v>100.7</v>
      </c>
      <c r="P12" s="17">
        <v>0.5</v>
      </c>
      <c r="Q12" s="17">
        <v>19.5</v>
      </c>
      <c r="R12" s="17" t="s">
        <v>29</v>
      </c>
      <c r="S12" s="17">
        <v>412</v>
      </c>
      <c r="T12" s="21">
        <v>11.898</v>
      </c>
      <c r="U12" s="17">
        <v>1340</v>
      </c>
      <c r="V12" s="21" t="s">
        <v>29</v>
      </c>
      <c r="W12" s="21" t="s">
        <v>29</v>
      </c>
      <c r="X12" s="60" t="s">
        <v>29</v>
      </c>
      <c r="Y12" s="22" t="s">
        <v>29</v>
      </c>
    </row>
    <row r="13" spans="1:25" ht="15.75" customHeight="1">
      <c r="A13" s="2" t="s">
        <v>13</v>
      </c>
      <c r="B13" s="14" t="s">
        <v>75</v>
      </c>
      <c r="D13" s="4"/>
      <c r="F13" s="16"/>
      <c r="G13" s="17" t="s">
        <v>76</v>
      </c>
      <c r="H13" s="24">
        <v>43928</v>
      </c>
      <c r="I13" s="19"/>
      <c r="J13" s="19">
        <v>0.70833333333333337</v>
      </c>
      <c r="K13" s="17">
        <v>9.1999999999999993</v>
      </c>
      <c r="L13" s="17">
        <v>1.56</v>
      </c>
      <c r="M13" s="17">
        <v>7.63</v>
      </c>
      <c r="N13" s="17">
        <v>21</v>
      </c>
      <c r="O13" s="17">
        <v>997</v>
      </c>
      <c r="P13" s="17">
        <v>-0.2</v>
      </c>
      <c r="Q13" s="17">
        <v>26.54</v>
      </c>
      <c r="R13" s="17" t="s">
        <v>29</v>
      </c>
      <c r="S13" s="17">
        <v>417</v>
      </c>
      <c r="T13" s="21">
        <v>11.632</v>
      </c>
      <c r="U13" s="17">
        <v>1230</v>
      </c>
      <c r="V13" s="21" t="s">
        <v>29</v>
      </c>
      <c r="W13" s="21" t="s">
        <v>29</v>
      </c>
      <c r="X13" s="60" t="s">
        <v>29</v>
      </c>
      <c r="Y13" s="22" t="s">
        <v>29</v>
      </c>
    </row>
    <row r="14" spans="1:25" ht="15.75" customHeight="1">
      <c r="A14" s="2" t="s">
        <v>77</v>
      </c>
      <c r="B14" s="81">
        <v>43987</v>
      </c>
      <c r="D14" s="4"/>
      <c r="F14" s="82" t="s">
        <v>78</v>
      </c>
      <c r="G14" s="36" t="s">
        <v>79</v>
      </c>
      <c r="H14" s="34">
        <v>43929</v>
      </c>
      <c r="I14" s="35"/>
      <c r="J14" s="35">
        <v>0.35208333333333336</v>
      </c>
      <c r="K14" s="36">
        <v>2.94</v>
      </c>
      <c r="L14" s="36">
        <v>7.0000000000000007E-2</v>
      </c>
      <c r="M14" s="36">
        <v>2.87</v>
      </c>
      <c r="N14" s="36">
        <v>28</v>
      </c>
      <c r="O14" s="83">
        <v>3.7</v>
      </c>
      <c r="P14" s="36">
        <v>-1.1000000000000001</v>
      </c>
      <c r="Q14" s="36">
        <v>24.42</v>
      </c>
      <c r="R14" s="36">
        <v>3.4</v>
      </c>
      <c r="S14" s="36">
        <v>442</v>
      </c>
      <c r="T14" s="38">
        <v>13.6</v>
      </c>
      <c r="U14" s="36">
        <v>1311</v>
      </c>
      <c r="V14" s="38" t="s">
        <v>29</v>
      </c>
      <c r="W14" s="38" t="s">
        <v>29</v>
      </c>
      <c r="X14" s="85">
        <v>0.85</v>
      </c>
      <c r="Y14" s="39" t="s">
        <v>29</v>
      </c>
    </row>
    <row r="15" spans="1:25" ht="15.75" customHeight="1">
      <c r="A15" s="2" t="s">
        <v>28</v>
      </c>
      <c r="B15" s="14" t="s">
        <v>29</v>
      </c>
      <c r="D15" s="4"/>
      <c r="F15" s="16"/>
      <c r="G15" s="17" t="s">
        <v>80</v>
      </c>
      <c r="H15" s="24">
        <v>43934</v>
      </c>
      <c r="I15" s="51"/>
      <c r="J15" s="25"/>
      <c r="K15" s="25"/>
      <c r="L15" s="25"/>
      <c r="M15" s="25"/>
      <c r="N15" s="25"/>
      <c r="O15" s="25"/>
      <c r="P15" s="25"/>
      <c r="Q15" s="25">
        <f>AVERAGE(Q2:Q14)</f>
        <v>25.854615384615386</v>
      </c>
      <c r="R15" s="17">
        <v>3.4</v>
      </c>
      <c r="S15" s="25"/>
      <c r="T15" s="52"/>
      <c r="U15" s="25"/>
      <c r="V15" s="52"/>
      <c r="W15" s="52"/>
      <c r="X15" s="60">
        <v>0.73</v>
      </c>
      <c r="Y15" s="22">
        <v>0.28999999999999998</v>
      </c>
    </row>
    <row r="16" spans="1:25" ht="15.75" customHeight="1">
      <c r="A16" s="2" t="s">
        <v>30</v>
      </c>
      <c r="B16" s="14">
        <v>4</v>
      </c>
      <c r="D16" s="4"/>
      <c r="F16" s="16"/>
      <c r="G16" s="17" t="s">
        <v>81</v>
      </c>
      <c r="H16" s="24">
        <v>43941</v>
      </c>
      <c r="I16" s="51"/>
      <c r="J16" s="19"/>
      <c r="K16" s="25"/>
      <c r="L16" s="25"/>
      <c r="M16" s="25"/>
      <c r="N16" s="25"/>
      <c r="O16" s="25"/>
      <c r="P16" s="25"/>
      <c r="Q16" s="25"/>
      <c r="R16" s="17">
        <v>3.46</v>
      </c>
      <c r="S16" s="25"/>
      <c r="T16" s="52"/>
      <c r="U16" s="25"/>
      <c r="V16" s="52"/>
      <c r="W16" s="52"/>
      <c r="X16" s="60">
        <v>0.6</v>
      </c>
      <c r="Y16" s="22">
        <v>0.24</v>
      </c>
    </row>
    <row r="17" spans="1:25" ht="15.75" customHeight="1">
      <c r="A17" s="47" t="s">
        <v>31</v>
      </c>
      <c r="B17" s="48">
        <v>73</v>
      </c>
      <c r="C17" s="49"/>
      <c r="D17" s="50"/>
      <c r="F17" s="82" t="s">
        <v>83</v>
      </c>
      <c r="G17" s="36" t="s">
        <v>84</v>
      </c>
      <c r="H17" s="34">
        <v>43949</v>
      </c>
      <c r="I17" s="54"/>
      <c r="J17" s="37"/>
      <c r="K17" s="37"/>
      <c r="L17" s="37"/>
      <c r="M17" s="37"/>
      <c r="N17" s="37"/>
      <c r="O17" s="37"/>
      <c r="P17" s="37"/>
      <c r="Q17" s="37"/>
      <c r="R17" s="36">
        <v>3.51</v>
      </c>
      <c r="S17" s="37"/>
      <c r="T17" s="55"/>
      <c r="U17" s="37"/>
      <c r="V17" s="55"/>
      <c r="W17" s="55"/>
      <c r="X17" s="85">
        <v>0.02</v>
      </c>
      <c r="Y17" s="39">
        <v>0.25</v>
      </c>
    </row>
    <row r="19" spans="1:25" ht="15.75" customHeight="1">
      <c r="A19" s="138" t="s">
        <v>32</v>
      </c>
      <c r="B19" s="139"/>
      <c r="C19" s="139"/>
      <c r="D19" s="140"/>
    </row>
    <row r="20" spans="1:25" ht="15.75" customHeight="1">
      <c r="A20" s="74" t="s">
        <v>33</v>
      </c>
      <c r="B20" s="86" t="s">
        <v>85</v>
      </c>
      <c r="C20" s="84"/>
      <c r="D20" s="87"/>
    </row>
    <row r="21" spans="1:25" ht="15.75" customHeight="1">
      <c r="A21" s="2" t="s">
        <v>87</v>
      </c>
      <c r="B21" s="14">
        <v>2</v>
      </c>
      <c r="C21" s="14" t="s">
        <v>88</v>
      </c>
      <c r="D21" s="57" t="s">
        <v>89</v>
      </c>
    </row>
    <row r="22" spans="1:25" ht="15.75" customHeight="1">
      <c r="A22" s="2" t="s">
        <v>90</v>
      </c>
      <c r="B22" s="81">
        <v>43987</v>
      </c>
      <c r="D22" s="88">
        <v>43868</v>
      </c>
    </row>
    <row r="23" spans="1:25" ht="15.75" customHeight="1">
      <c r="A23" s="2" t="s">
        <v>92</v>
      </c>
      <c r="B23" s="14">
        <v>1</v>
      </c>
      <c r="D23" s="15" t="s">
        <v>94</v>
      </c>
    </row>
    <row r="24" spans="1:25" ht="15.75" customHeight="1">
      <c r="A24" s="2" t="s">
        <v>95</v>
      </c>
      <c r="B24" s="79">
        <v>43868</v>
      </c>
      <c r="D24" s="80">
        <v>44019</v>
      </c>
      <c r="F24" s="14" t="s">
        <v>96</v>
      </c>
      <c r="G24" s="89" t="e">
        <f>(G25/G26)*100</f>
        <v>#VALUE!</v>
      </c>
    </row>
    <row r="25" spans="1:25" ht="15.75" customHeight="1">
      <c r="A25" s="2" t="s">
        <v>36</v>
      </c>
      <c r="B25" s="14">
        <v>250</v>
      </c>
      <c r="D25" s="15">
        <v>73</v>
      </c>
      <c r="F25" s="14" t="s">
        <v>97</v>
      </c>
      <c r="G25" s="90" t="e">
        <f>B26+B27</f>
        <v>#VALUE!</v>
      </c>
    </row>
    <row r="26" spans="1:25" ht="15.75" customHeight="1">
      <c r="A26" s="2" t="s">
        <v>99</v>
      </c>
      <c r="B26" s="91">
        <v>4.18</v>
      </c>
      <c r="D26" s="15">
        <v>225</v>
      </c>
      <c r="F26" s="14" t="s">
        <v>100</v>
      </c>
      <c r="G26">
        <f>(B3+C11+D11)/1000</f>
        <v>4.37</v>
      </c>
    </row>
    <row r="27" spans="1:25" ht="15.75" customHeight="1">
      <c r="A27" s="2" t="s">
        <v>101</v>
      </c>
      <c r="B27" s="93" t="s">
        <v>102</v>
      </c>
      <c r="D27" s="15">
        <v>233</v>
      </c>
    </row>
    <row r="28" spans="1:25" ht="15.75" customHeight="1">
      <c r="A28" s="2" t="s">
        <v>39</v>
      </c>
      <c r="B28" s="14">
        <v>5</v>
      </c>
      <c r="D28" s="4"/>
    </row>
    <row r="29" spans="1:25" ht="15.75" customHeight="1">
      <c r="A29" s="47" t="s">
        <v>40</v>
      </c>
      <c r="B29" s="48">
        <v>20</v>
      </c>
      <c r="C29" s="48"/>
      <c r="D29" s="50"/>
    </row>
    <row r="31" spans="1:25" ht="15.75" customHeight="1">
      <c r="A31" s="138" t="s">
        <v>41</v>
      </c>
      <c r="B31" s="139"/>
      <c r="C31" s="139"/>
      <c r="D31" s="140"/>
    </row>
    <row r="32" spans="1:25" ht="15.75" customHeight="1">
      <c r="A32" s="2" t="s">
        <v>42</v>
      </c>
      <c r="B32" s="14" t="s">
        <v>43</v>
      </c>
      <c r="C32" s="14" t="s">
        <v>44</v>
      </c>
      <c r="D32" s="15" t="s">
        <v>45</v>
      </c>
    </row>
    <row r="33" spans="1:4" ht="15.75" customHeight="1">
      <c r="A33" s="2" t="s">
        <v>46</v>
      </c>
      <c r="B33" s="14">
        <v>2</v>
      </c>
      <c r="C33" s="14">
        <v>2</v>
      </c>
      <c r="D33" s="15">
        <v>3</v>
      </c>
    </row>
    <row r="34" spans="1:4" ht="15.75" customHeight="1">
      <c r="A34" s="2" t="s">
        <v>47</v>
      </c>
      <c r="B34" s="14">
        <v>2</v>
      </c>
      <c r="C34" s="14">
        <v>1</v>
      </c>
      <c r="D34" s="15">
        <v>2</v>
      </c>
    </row>
    <row r="35" spans="1:4" ht="15.75" customHeight="1">
      <c r="A35" s="47" t="s">
        <v>48</v>
      </c>
      <c r="B35" s="48">
        <v>2</v>
      </c>
      <c r="C35" s="48">
        <v>1</v>
      </c>
      <c r="D35" s="58">
        <v>1</v>
      </c>
    </row>
  </sheetData>
  <mergeCells count="4">
    <mergeCell ref="A1:D1"/>
    <mergeCell ref="A9:D9"/>
    <mergeCell ref="A19:D19"/>
    <mergeCell ref="A31:D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33"/>
  <sheetViews>
    <sheetView workbookViewId="0"/>
  </sheetViews>
  <sheetFormatPr baseColWidth="10" defaultColWidth="14.42578125" defaultRowHeight="15.75" customHeight="1"/>
  <cols>
    <col min="1" max="1" width="27.5703125" customWidth="1"/>
    <col min="3" max="3" width="17.42578125" customWidth="1"/>
    <col min="6" max="6" width="25.5703125" customWidth="1"/>
    <col min="7" max="7" width="20.42578125" customWidth="1"/>
    <col min="8" max="8" width="11.42578125" customWidth="1"/>
    <col min="9" max="9" width="10.7109375" customWidth="1"/>
    <col min="10" max="11" width="16.85546875" customWidth="1"/>
    <col min="12" max="12" width="13.140625" customWidth="1"/>
    <col min="13" max="13" width="13.7109375" customWidth="1"/>
    <col min="14" max="14" width="11.28515625" customWidth="1"/>
    <col min="15" max="15" width="16.7109375" customWidth="1"/>
    <col min="16" max="17" width="16.28515625" customWidth="1"/>
    <col min="18" max="18" width="4.7109375" customWidth="1"/>
    <col min="19" max="19" width="19.140625" customWidth="1"/>
    <col min="20" max="20" width="7.140625" customWidth="1"/>
    <col min="21" max="21" width="17.42578125" customWidth="1"/>
    <col min="22" max="22" width="15.7109375" customWidth="1"/>
  </cols>
  <sheetData>
    <row r="1" spans="1:25" ht="15.75" customHeight="1">
      <c r="A1" s="138" t="s">
        <v>0</v>
      </c>
      <c r="B1" s="139"/>
      <c r="C1" s="139"/>
      <c r="D1" s="140"/>
      <c r="F1" s="64" t="s">
        <v>1</v>
      </c>
      <c r="G1" s="64" t="s">
        <v>2</v>
      </c>
      <c r="H1" s="64" t="s">
        <v>3</v>
      </c>
      <c r="I1" s="64" t="s">
        <v>4</v>
      </c>
      <c r="J1" s="64" t="s">
        <v>5</v>
      </c>
      <c r="K1" s="64" t="s">
        <v>6</v>
      </c>
      <c r="L1" s="64" t="s">
        <v>7</v>
      </c>
      <c r="M1" s="64" t="s">
        <v>8</v>
      </c>
      <c r="N1" s="64" t="s">
        <v>9</v>
      </c>
      <c r="O1" s="64" t="s">
        <v>10</v>
      </c>
      <c r="P1" s="64" t="s">
        <v>11</v>
      </c>
      <c r="Q1" s="64" t="s">
        <v>12</v>
      </c>
      <c r="R1" s="64" t="s">
        <v>13</v>
      </c>
      <c r="S1" s="64" t="s">
        <v>14</v>
      </c>
      <c r="T1" s="64" t="s">
        <v>15</v>
      </c>
      <c r="U1" s="64" t="s">
        <v>16</v>
      </c>
      <c r="V1" s="64" t="s">
        <v>17</v>
      </c>
      <c r="W1" s="64" t="s">
        <v>18</v>
      </c>
      <c r="X1" s="64" t="s">
        <v>49</v>
      </c>
      <c r="Y1" s="64" t="s">
        <v>19</v>
      </c>
    </row>
    <row r="2" spans="1:25" ht="15.75" customHeight="1">
      <c r="A2" s="2" t="s">
        <v>20</v>
      </c>
      <c r="B2" s="3">
        <v>6143</v>
      </c>
      <c r="D2" s="4"/>
      <c r="F2" s="5"/>
      <c r="G2" s="6" t="s">
        <v>111</v>
      </c>
      <c r="H2" s="7">
        <v>43929</v>
      </c>
      <c r="I2" s="8">
        <v>0.65277777777777779</v>
      </c>
      <c r="J2" s="6"/>
      <c r="K2" s="6">
        <v>209.86</v>
      </c>
      <c r="L2" s="6">
        <v>112.66</v>
      </c>
      <c r="M2" s="6">
        <v>97.2</v>
      </c>
      <c r="N2" s="6">
        <v>228</v>
      </c>
      <c r="O2" s="6">
        <v>1097.9000000000001</v>
      </c>
      <c r="P2" s="6">
        <v>23.6</v>
      </c>
      <c r="Q2" s="6">
        <v>24.8</v>
      </c>
      <c r="R2" s="10">
        <v>3.38</v>
      </c>
      <c r="S2" s="6">
        <v>96</v>
      </c>
      <c r="T2" s="11">
        <v>15.186</v>
      </c>
      <c r="U2" s="6">
        <v>560</v>
      </c>
      <c r="V2" s="12">
        <v>16</v>
      </c>
      <c r="W2" s="12">
        <v>28</v>
      </c>
      <c r="X2" s="12" t="s">
        <v>29</v>
      </c>
      <c r="Y2" s="13" t="s">
        <v>29</v>
      </c>
    </row>
    <row r="3" spans="1:25" ht="15.75" customHeight="1">
      <c r="A3" s="2" t="s">
        <v>21</v>
      </c>
      <c r="B3" s="14">
        <v>3615</v>
      </c>
      <c r="C3" s="14" t="s">
        <v>22</v>
      </c>
      <c r="D3" s="15">
        <v>4084</v>
      </c>
      <c r="F3" s="16"/>
      <c r="G3" s="17" t="s">
        <v>114</v>
      </c>
      <c r="H3" s="24">
        <v>43930</v>
      </c>
      <c r="I3" s="19">
        <v>0.35416666666666669</v>
      </c>
      <c r="J3" s="17"/>
      <c r="K3" s="17">
        <v>210.45</v>
      </c>
      <c r="L3" s="17">
        <v>103.49</v>
      </c>
      <c r="M3" s="17">
        <v>106.96</v>
      </c>
      <c r="N3" s="17">
        <v>226</v>
      </c>
      <c r="O3" s="17">
        <v>1094.5999999999999</v>
      </c>
      <c r="P3" s="17">
        <v>23</v>
      </c>
      <c r="Q3" s="20">
        <v>26.07</v>
      </c>
      <c r="R3" s="17" t="s">
        <v>29</v>
      </c>
      <c r="S3" s="17">
        <v>241</v>
      </c>
      <c r="T3" s="21">
        <v>18.242999999999999</v>
      </c>
      <c r="U3" s="17">
        <v>776</v>
      </c>
      <c r="V3" s="21" t="s">
        <v>29</v>
      </c>
      <c r="W3" s="21" t="s">
        <v>29</v>
      </c>
      <c r="X3" s="21" t="s">
        <v>29</v>
      </c>
      <c r="Y3" s="22" t="s">
        <v>29</v>
      </c>
    </row>
    <row r="4" spans="1:25" ht="15.75" customHeight="1">
      <c r="A4" s="2" t="s">
        <v>23</v>
      </c>
      <c r="B4" s="14">
        <v>1956</v>
      </c>
      <c r="D4" s="15"/>
      <c r="F4" s="23"/>
      <c r="G4" s="17" t="s">
        <v>115</v>
      </c>
      <c r="H4" s="24">
        <v>43930</v>
      </c>
      <c r="I4" s="19">
        <v>0.6645833333333333</v>
      </c>
      <c r="J4" s="17"/>
      <c r="K4" s="17">
        <v>204.01</v>
      </c>
      <c r="L4" s="17">
        <v>107.76</v>
      </c>
      <c r="M4" s="17">
        <v>96.24</v>
      </c>
      <c r="N4" s="17">
        <v>179</v>
      </c>
      <c r="O4" s="17">
        <v>1092.5999999999999</v>
      </c>
      <c r="P4" s="17">
        <v>22.7</v>
      </c>
      <c r="Q4" s="17">
        <v>25.24</v>
      </c>
      <c r="R4" s="17" t="s">
        <v>29</v>
      </c>
      <c r="S4" s="17">
        <v>271</v>
      </c>
      <c r="T4" s="21">
        <v>18.253</v>
      </c>
      <c r="U4" s="17">
        <v>829</v>
      </c>
      <c r="V4" s="21" t="s">
        <v>29</v>
      </c>
      <c r="W4" s="21" t="s">
        <v>29</v>
      </c>
      <c r="X4" s="21" t="s">
        <v>29</v>
      </c>
      <c r="Y4" s="22" t="s">
        <v>29</v>
      </c>
    </row>
    <row r="5" spans="1:25" ht="15.75" customHeight="1">
      <c r="A5" s="2" t="s">
        <v>24</v>
      </c>
      <c r="B5">
        <f>(D3/B2)*100</f>
        <v>66.482174833143418</v>
      </c>
      <c r="C5">
        <f>(B4/B2)*100</f>
        <v>31.841119973954097</v>
      </c>
      <c r="D5" s="4">
        <f>100-B5-C5</f>
        <v>1.6767051929024852</v>
      </c>
      <c r="F5" s="16"/>
      <c r="G5" s="41" t="s">
        <v>116</v>
      </c>
      <c r="H5" s="24">
        <v>43931</v>
      </c>
      <c r="I5" s="19">
        <v>0.47152777777777777</v>
      </c>
      <c r="J5" s="20"/>
      <c r="K5" s="20">
        <v>188.32</v>
      </c>
      <c r="L5" s="20">
        <v>93.86</v>
      </c>
      <c r="M5" s="17">
        <v>94.45</v>
      </c>
      <c r="N5" s="17">
        <v>91</v>
      </c>
      <c r="O5" s="17">
        <v>1085.5999999999999</v>
      </c>
      <c r="P5" s="17">
        <v>20.9</v>
      </c>
      <c r="Q5" s="20">
        <v>24</v>
      </c>
      <c r="R5" s="17" t="s">
        <v>29</v>
      </c>
      <c r="S5" s="17">
        <v>324</v>
      </c>
      <c r="T5" s="21">
        <v>19.565999999999999</v>
      </c>
      <c r="U5" s="17">
        <v>862</v>
      </c>
      <c r="V5" s="21" t="s">
        <v>29</v>
      </c>
      <c r="W5" s="21" t="s">
        <v>29</v>
      </c>
      <c r="X5" s="21" t="s">
        <v>29</v>
      </c>
      <c r="Y5" s="22" t="s">
        <v>29</v>
      </c>
    </row>
    <row r="6" spans="1:25" ht="15.75" customHeight="1">
      <c r="A6" s="26" t="s">
        <v>25</v>
      </c>
      <c r="B6" s="27"/>
      <c r="C6" s="28" t="s">
        <v>26</v>
      </c>
      <c r="D6" s="27">
        <v>2500</v>
      </c>
      <c r="F6" s="23"/>
      <c r="G6" s="17" t="s">
        <v>117</v>
      </c>
      <c r="H6" s="24">
        <v>43931</v>
      </c>
      <c r="I6" s="19">
        <v>0.63263888888888886</v>
      </c>
      <c r="J6" s="20"/>
      <c r="K6" s="20">
        <v>186.34</v>
      </c>
      <c r="L6" s="17">
        <v>93.38</v>
      </c>
      <c r="M6" s="17">
        <v>92.95</v>
      </c>
      <c r="N6" s="17">
        <v>77</v>
      </c>
      <c r="O6" s="17">
        <v>1081.7</v>
      </c>
      <c r="P6" s="29">
        <v>20.2</v>
      </c>
      <c r="Q6" s="17">
        <v>25.5</v>
      </c>
      <c r="R6" s="17" t="s">
        <v>29</v>
      </c>
      <c r="S6" s="17">
        <v>345</v>
      </c>
      <c r="T6" s="30">
        <v>20.645</v>
      </c>
      <c r="U6" s="17">
        <v>898</v>
      </c>
      <c r="V6" s="21" t="s">
        <v>29</v>
      </c>
      <c r="W6" s="21" t="s">
        <v>29</v>
      </c>
      <c r="X6" s="21" t="s">
        <v>29</v>
      </c>
      <c r="Y6" s="22" t="s">
        <v>29</v>
      </c>
    </row>
    <row r="7" spans="1:25" ht="15.75" customHeight="1">
      <c r="F7" s="23" t="s">
        <v>120</v>
      </c>
      <c r="G7" s="17" t="s">
        <v>121</v>
      </c>
      <c r="H7" s="24">
        <v>43932</v>
      </c>
      <c r="I7" s="19">
        <v>0.60347222222222219</v>
      </c>
      <c r="J7" s="17"/>
      <c r="K7" s="17">
        <v>123.35</v>
      </c>
      <c r="L7" s="17">
        <v>48.87</v>
      </c>
      <c r="M7" s="17">
        <v>76.47</v>
      </c>
      <c r="N7" s="17">
        <v>52</v>
      </c>
      <c r="O7" s="29">
        <v>1052.5</v>
      </c>
      <c r="P7" s="29">
        <v>13.5</v>
      </c>
      <c r="Q7" s="20">
        <v>27</v>
      </c>
      <c r="R7" s="17" t="s">
        <v>29</v>
      </c>
      <c r="S7" s="17">
        <v>505</v>
      </c>
      <c r="T7" s="21">
        <v>26.228999999999999</v>
      </c>
      <c r="U7" s="17">
        <v>1127</v>
      </c>
      <c r="V7" s="21" t="s">
        <v>29</v>
      </c>
      <c r="W7" s="21" t="s">
        <v>29</v>
      </c>
      <c r="X7" s="21" t="s">
        <v>29</v>
      </c>
      <c r="Y7" s="22" t="s">
        <v>29</v>
      </c>
    </row>
    <row r="8" spans="1:25" ht="15.75" customHeight="1">
      <c r="F8" s="23"/>
      <c r="G8" s="17" t="s">
        <v>122</v>
      </c>
      <c r="H8" s="18">
        <v>43932</v>
      </c>
      <c r="I8" s="19">
        <v>0.61458333333333337</v>
      </c>
      <c r="J8" s="17"/>
      <c r="K8" s="17">
        <v>123.35</v>
      </c>
      <c r="L8" s="17">
        <v>48.87</v>
      </c>
      <c r="M8" s="17">
        <v>76.47</v>
      </c>
      <c r="N8" s="17">
        <v>78</v>
      </c>
      <c r="O8" s="29">
        <v>1052.5</v>
      </c>
      <c r="P8" s="29">
        <v>13.5</v>
      </c>
      <c r="Q8" s="20">
        <v>27</v>
      </c>
      <c r="R8" s="17" t="s">
        <v>29</v>
      </c>
      <c r="S8" s="17">
        <v>505</v>
      </c>
      <c r="T8" s="21">
        <v>26.228999999999999</v>
      </c>
      <c r="U8" s="17">
        <v>1127</v>
      </c>
      <c r="V8" s="21" t="s">
        <v>29</v>
      </c>
      <c r="W8" s="21" t="s">
        <v>29</v>
      </c>
      <c r="X8" s="21" t="s">
        <v>29</v>
      </c>
      <c r="Y8" s="22" t="s">
        <v>29</v>
      </c>
    </row>
    <row r="9" spans="1:25" ht="15.75" customHeight="1">
      <c r="A9" s="138" t="s">
        <v>27</v>
      </c>
      <c r="B9" s="139"/>
      <c r="C9" s="139"/>
      <c r="D9" s="140"/>
      <c r="F9" s="23"/>
      <c r="G9" s="41" t="s">
        <v>123</v>
      </c>
      <c r="H9" s="24">
        <v>43933</v>
      </c>
      <c r="I9" s="19">
        <v>0.61805555555555558</v>
      </c>
      <c r="J9" s="17"/>
      <c r="K9" s="17">
        <v>79.94</v>
      </c>
      <c r="L9" s="17">
        <v>31.53</v>
      </c>
      <c r="M9" s="20">
        <v>48.41</v>
      </c>
      <c r="N9" s="17">
        <v>16</v>
      </c>
      <c r="O9" s="29">
        <v>1031.3</v>
      </c>
      <c r="P9" s="29">
        <v>8.3000000000000007</v>
      </c>
      <c r="Q9" s="20">
        <v>25.61</v>
      </c>
      <c r="R9" s="31" t="s">
        <v>29</v>
      </c>
      <c r="S9" s="17">
        <v>446</v>
      </c>
      <c r="T9" s="21">
        <v>15.592000000000001</v>
      </c>
      <c r="U9" s="17">
        <v>1104</v>
      </c>
      <c r="V9" s="21" t="s">
        <v>29</v>
      </c>
      <c r="W9" s="21" t="s">
        <v>29</v>
      </c>
      <c r="X9" s="21" t="s">
        <v>29</v>
      </c>
      <c r="Y9" s="22" t="s">
        <v>29</v>
      </c>
    </row>
    <row r="10" spans="1:25" ht="15.75" customHeight="1">
      <c r="A10" s="74" t="s">
        <v>10</v>
      </c>
      <c r="B10" s="86">
        <v>1104.9000000000001</v>
      </c>
      <c r="C10" s="86">
        <v>1097.9000000000001</v>
      </c>
      <c r="D10" s="87"/>
      <c r="F10" s="23"/>
      <c r="G10" s="17" t="s">
        <v>124</v>
      </c>
      <c r="H10" s="24">
        <v>43934</v>
      </c>
      <c r="I10" s="19">
        <v>0.39027777777777778</v>
      </c>
      <c r="J10" s="17"/>
      <c r="K10" s="17">
        <v>60.13</v>
      </c>
      <c r="L10" s="17">
        <v>13.54</v>
      </c>
      <c r="M10" s="20">
        <v>46.48</v>
      </c>
      <c r="N10" s="17">
        <v>46</v>
      </c>
      <c r="O10" s="17">
        <v>1019.2</v>
      </c>
      <c r="P10" s="17">
        <v>5.4</v>
      </c>
      <c r="Q10" s="17">
        <v>21.98</v>
      </c>
      <c r="R10" s="17" t="s">
        <v>29</v>
      </c>
      <c r="S10" s="17">
        <v>447</v>
      </c>
      <c r="T10" s="21">
        <v>15.561999999999999</v>
      </c>
      <c r="U10" s="17">
        <v>1102</v>
      </c>
      <c r="V10" s="21" t="s">
        <v>29</v>
      </c>
      <c r="W10" s="21" t="s">
        <v>29</v>
      </c>
      <c r="X10" s="21" t="s">
        <v>29</v>
      </c>
      <c r="Y10" s="22" t="s">
        <v>29</v>
      </c>
    </row>
    <row r="11" spans="1:25" ht="15.75" customHeight="1">
      <c r="A11" s="2" t="s">
        <v>68</v>
      </c>
      <c r="C11" s="108">
        <v>262</v>
      </c>
      <c r="D11" s="78"/>
      <c r="F11" s="23"/>
      <c r="G11" s="17" t="s">
        <v>125</v>
      </c>
      <c r="H11" s="24">
        <v>43934</v>
      </c>
      <c r="I11" s="19">
        <v>0.80902777777777779</v>
      </c>
      <c r="J11" s="17"/>
      <c r="K11" s="17">
        <v>31.99</v>
      </c>
      <c r="L11" s="17">
        <v>10.26</v>
      </c>
      <c r="M11" s="17">
        <v>21.74</v>
      </c>
      <c r="N11" s="17">
        <v>22</v>
      </c>
      <c r="O11" s="29">
        <v>1013.6</v>
      </c>
      <c r="P11" s="17">
        <v>4</v>
      </c>
      <c r="Q11" s="17">
        <v>25.58</v>
      </c>
      <c r="R11" s="17" t="s">
        <v>29</v>
      </c>
      <c r="S11" s="17">
        <v>325</v>
      </c>
      <c r="T11" s="21">
        <v>10.906000000000001</v>
      </c>
      <c r="U11" s="17">
        <v>839</v>
      </c>
      <c r="V11" s="21" t="s">
        <v>29</v>
      </c>
      <c r="W11" s="21" t="s">
        <v>29</v>
      </c>
      <c r="X11" s="21" t="s">
        <v>29</v>
      </c>
      <c r="Y11" s="22" t="s">
        <v>29</v>
      </c>
    </row>
    <row r="12" spans="1:25" ht="15.75" customHeight="1">
      <c r="A12" s="2" t="s">
        <v>11</v>
      </c>
      <c r="B12" s="14">
        <v>25.2</v>
      </c>
      <c r="C12" s="14">
        <v>23.6</v>
      </c>
      <c r="D12" s="15"/>
      <c r="E12">
        <f>0.49/2.5*100</f>
        <v>19.600000000000001</v>
      </c>
      <c r="F12" s="16"/>
      <c r="G12" s="41" t="s">
        <v>126</v>
      </c>
      <c r="H12" s="24">
        <v>43935</v>
      </c>
      <c r="I12" s="19">
        <v>0.43472222222222223</v>
      </c>
      <c r="J12" s="17"/>
      <c r="K12" s="17">
        <v>33.99</v>
      </c>
      <c r="L12" s="17">
        <v>4.62</v>
      </c>
      <c r="M12" s="17">
        <v>29.38</v>
      </c>
      <c r="N12" s="17">
        <v>58</v>
      </c>
      <c r="O12" s="17">
        <v>1007.3</v>
      </c>
      <c r="P12" s="17">
        <v>2.4</v>
      </c>
      <c r="Q12" s="17">
        <v>24.9</v>
      </c>
      <c r="R12" s="17" t="s">
        <v>29</v>
      </c>
      <c r="S12" s="17">
        <v>460</v>
      </c>
      <c r="T12" s="21">
        <v>13.862</v>
      </c>
      <c r="U12" s="17">
        <v>1099</v>
      </c>
      <c r="V12" s="21" t="s">
        <v>29</v>
      </c>
      <c r="W12" s="21" t="s">
        <v>29</v>
      </c>
      <c r="X12" s="63" t="s">
        <v>29</v>
      </c>
      <c r="Y12" s="22" t="s">
        <v>29</v>
      </c>
    </row>
    <row r="13" spans="1:25" ht="15.75" customHeight="1">
      <c r="A13" s="2" t="s">
        <v>13</v>
      </c>
      <c r="B13" s="14">
        <v>3.75</v>
      </c>
      <c r="D13" s="4"/>
      <c r="F13" s="109"/>
      <c r="G13" s="62" t="s">
        <v>127</v>
      </c>
      <c r="H13" s="95">
        <v>43935</v>
      </c>
      <c r="I13" s="61">
        <v>0.68402777777777779</v>
      </c>
      <c r="J13" s="62"/>
      <c r="K13" s="62">
        <v>28.68</v>
      </c>
      <c r="L13" s="62">
        <v>3.36</v>
      </c>
      <c r="M13" s="62">
        <v>25.32</v>
      </c>
      <c r="N13" s="62">
        <v>73</v>
      </c>
      <c r="O13" s="62">
        <v>1002.5</v>
      </c>
      <c r="P13" s="62">
        <v>1.6</v>
      </c>
      <c r="Q13" s="62">
        <v>25.09</v>
      </c>
      <c r="R13" s="62" t="s">
        <v>29</v>
      </c>
      <c r="S13" s="62">
        <v>447</v>
      </c>
      <c r="T13" s="63">
        <v>13.673999999999999</v>
      </c>
      <c r="U13" s="62">
        <v>1109</v>
      </c>
      <c r="V13" s="63" t="s">
        <v>29</v>
      </c>
      <c r="W13" s="63" t="s">
        <v>29</v>
      </c>
      <c r="X13" s="63" t="s">
        <v>29</v>
      </c>
      <c r="Y13" s="98" t="s">
        <v>29</v>
      </c>
    </row>
    <row r="14" spans="1:25" ht="15.75" customHeight="1">
      <c r="A14" s="2" t="s">
        <v>77</v>
      </c>
      <c r="B14" s="108">
        <v>5.4</v>
      </c>
      <c r="D14" s="4"/>
      <c r="F14" s="82" t="s">
        <v>105</v>
      </c>
      <c r="G14" s="36" t="s">
        <v>128</v>
      </c>
      <c r="H14" s="34">
        <v>43936</v>
      </c>
      <c r="I14" s="35">
        <v>0.40694444444444444</v>
      </c>
      <c r="J14" s="36"/>
      <c r="K14" s="36">
        <v>14.94</v>
      </c>
      <c r="L14" s="36">
        <v>1.04</v>
      </c>
      <c r="M14" s="36">
        <v>13.9</v>
      </c>
      <c r="N14" s="36">
        <v>69</v>
      </c>
      <c r="O14" s="36">
        <v>996.5</v>
      </c>
      <c r="P14" s="36">
        <v>-0.2</v>
      </c>
      <c r="Q14" s="36">
        <v>28.8</v>
      </c>
      <c r="R14" s="36" t="s">
        <v>29</v>
      </c>
      <c r="S14" s="36">
        <v>465</v>
      </c>
      <c r="T14" s="38">
        <v>13.731999999999999</v>
      </c>
      <c r="U14" s="36">
        <v>1170</v>
      </c>
      <c r="V14" s="38" t="s">
        <v>29</v>
      </c>
      <c r="W14" s="38" t="s">
        <v>29</v>
      </c>
      <c r="X14" s="38" t="s">
        <v>29</v>
      </c>
      <c r="Y14" s="39" t="s">
        <v>29</v>
      </c>
    </row>
    <row r="15" spans="1:25" ht="15.75" customHeight="1">
      <c r="A15" s="2" t="s">
        <v>28</v>
      </c>
      <c r="B15" s="14">
        <v>0</v>
      </c>
      <c r="D15" s="4"/>
      <c r="F15" s="110" t="s">
        <v>129</v>
      </c>
      <c r="G15" s="41" t="s">
        <v>130</v>
      </c>
      <c r="H15" s="42">
        <v>43936</v>
      </c>
      <c r="I15" s="43">
        <v>0.69791666666666663</v>
      </c>
      <c r="J15" s="41"/>
      <c r="K15" s="41">
        <v>15.05</v>
      </c>
      <c r="L15" s="41">
        <v>0.68</v>
      </c>
      <c r="M15" s="41">
        <v>14.36</v>
      </c>
      <c r="N15" s="41">
        <v>70</v>
      </c>
      <c r="O15" s="41">
        <v>994.9</v>
      </c>
      <c r="P15" s="41">
        <v>-0.4</v>
      </c>
      <c r="Q15" s="41">
        <v>27</v>
      </c>
      <c r="R15" s="41" t="s">
        <v>29</v>
      </c>
      <c r="S15" s="41">
        <v>468</v>
      </c>
      <c r="T15" s="45">
        <v>14.319000000000001</v>
      </c>
      <c r="U15" s="41">
        <v>1135</v>
      </c>
      <c r="V15" s="45" t="s">
        <v>29</v>
      </c>
      <c r="W15" s="45" t="s">
        <v>29</v>
      </c>
      <c r="X15" s="45" t="s">
        <v>29</v>
      </c>
      <c r="Y15" s="46" t="s">
        <v>29</v>
      </c>
    </row>
    <row r="16" spans="1:25" ht="15.75" customHeight="1">
      <c r="A16" s="2" t="s">
        <v>30</v>
      </c>
      <c r="B16" s="14">
        <v>5</v>
      </c>
      <c r="D16" s="4"/>
      <c r="F16" s="16"/>
      <c r="G16" s="17" t="s">
        <v>131</v>
      </c>
      <c r="H16" s="24">
        <v>43937</v>
      </c>
      <c r="I16" s="19">
        <v>0.4236111111111111</v>
      </c>
      <c r="J16" s="17"/>
      <c r="K16" s="17">
        <v>15.26</v>
      </c>
      <c r="L16" s="17">
        <v>0.98</v>
      </c>
      <c r="M16" s="17">
        <v>14.28</v>
      </c>
      <c r="N16" s="17">
        <v>63</v>
      </c>
      <c r="O16" s="17">
        <v>995.7</v>
      </c>
      <c r="P16" s="17">
        <v>-0.3</v>
      </c>
      <c r="Q16" s="17">
        <v>27</v>
      </c>
      <c r="R16" s="17" t="s">
        <v>29</v>
      </c>
      <c r="S16" s="17">
        <v>466</v>
      </c>
      <c r="T16" s="21">
        <v>14.048999999999999</v>
      </c>
      <c r="U16" s="17">
        <v>1139</v>
      </c>
      <c r="V16" s="21" t="s">
        <v>29</v>
      </c>
      <c r="W16" s="21" t="s">
        <v>29</v>
      </c>
      <c r="X16" s="21" t="s">
        <v>29</v>
      </c>
      <c r="Y16" s="22" t="s">
        <v>29</v>
      </c>
    </row>
    <row r="17" spans="1:25" ht="15.75" customHeight="1">
      <c r="A17" s="47" t="s">
        <v>31</v>
      </c>
      <c r="B17" s="48">
        <v>73</v>
      </c>
      <c r="C17" s="49"/>
      <c r="D17" s="50"/>
      <c r="F17" s="16"/>
      <c r="G17" s="17" t="s">
        <v>132</v>
      </c>
      <c r="H17" s="24">
        <v>43941</v>
      </c>
      <c r="I17" s="19">
        <v>0.41666666666666669</v>
      </c>
      <c r="J17" s="25"/>
      <c r="K17" s="17">
        <v>7.42</v>
      </c>
      <c r="L17" s="17">
        <v>0.4</v>
      </c>
      <c r="M17" s="17">
        <v>7.02</v>
      </c>
      <c r="N17" s="17">
        <v>32</v>
      </c>
      <c r="O17" s="17">
        <v>994.8</v>
      </c>
      <c r="P17" s="17">
        <v>-0.6</v>
      </c>
      <c r="Q17" s="17">
        <v>27</v>
      </c>
      <c r="R17" s="17">
        <v>3.34</v>
      </c>
      <c r="S17" s="17">
        <v>438</v>
      </c>
      <c r="T17" s="21">
        <v>14.042</v>
      </c>
      <c r="U17" s="17">
        <v>1212</v>
      </c>
      <c r="V17" s="21" t="s">
        <v>29</v>
      </c>
      <c r="W17" s="21" t="s">
        <v>29</v>
      </c>
      <c r="X17" s="21" t="s">
        <v>29</v>
      </c>
      <c r="Y17" s="22">
        <v>0.77</v>
      </c>
    </row>
    <row r="18" spans="1:25" ht="15.75" customHeight="1">
      <c r="F18" s="16"/>
      <c r="G18" s="17" t="s">
        <v>133</v>
      </c>
      <c r="H18" s="24">
        <v>43944</v>
      </c>
      <c r="I18" s="19">
        <v>0.43055555555555558</v>
      </c>
      <c r="J18" s="25"/>
      <c r="K18" s="17">
        <v>5.91</v>
      </c>
      <c r="L18" s="17">
        <v>0.28999999999999998</v>
      </c>
      <c r="M18" s="17">
        <v>5.62</v>
      </c>
      <c r="N18" s="17">
        <v>30</v>
      </c>
      <c r="O18" s="17">
        <v>994</v>
      </c>
      <c r="P18" s="17">
        <v>-0.9</v>
      </c>
      <c r="Q18" s="17">
        <v>27</v>
      </c>
      <c r="R18" s="17">
        <v>3.34</v>
      </c>
      <c r="S18" s="17">
        <v>394</v>
      </c>
      <c r="T18" s="21">
        <v>13.981</v>
      </c>
      <c r="U18" s="17">
        <v>1330</v>
      </c>
      <c r="V18" s="21" t="s">
        <v>29</v>
      </c>
      <c r="W18" s="21" t="s">
        <v>29</v>
      </c>
      <c r="X18" s="21" t="s">
        <v>29</v>
      </c>
      <c r="Y18" s="22">
        <v>0.75</v>
      </c>
    </row>
    <row r="19" spans="1:25" ht="15.75" customHeight="1">
      <c r="A19" s="138" t="s">
        <v>32</v>
      </c>
      <c r="B19" s="139"/>
      <c r="C19" s="139"/>
      <c r="D19" s="140"/>
      <c r="F19" s="94" t="s">
        <v>134</v>
      </c>
      <c r="G19" s="62" t="s">
        <v>135</v>
      </c>
      <c r="H19" s="95">
        <v>43949</v>
      </c>
      <c r="I19" s="61">
        <v>0.44791666666666669</v>
      </c>
      <c r="J19" s="111"/>
      <c r="K19" s="62">
        <v>4.54</v>
      </c>
      <c r="L19" s="62">
        <v>0.18</v>
      </c>
      <c r="M19" s="62">
        <v>4.3600000000000003</v>
      </c>
      <c r="N19" s="62"/>
      <c r="O19" s="62"/>
      <c r="P19" s="62"/>
      <c r="Q19" s="62">
        <v>27</v>
      </c>
      <c r="R19" s="62">
        <v>3.54</v>
      </c>
      <c r="S19" s="111"/>
      <c r="T19" s="111"/>
      <c r="U19" s="111"/>
      <c r="V19" s="111"/>
      <c r="W19" s="111"/>
      <c r="X19" s="63">
        <v>0.26</v>
      </c>
      <c r="Y19" s="98">
        <v>0.71</v>
      </c>
    </row>
    <row r="20" spans="1:25" ht="15.75" customHeight="1">
      <c r="A20" s="74" t="s">
        <v>33</v>
      </c>
      <c r="B20" s="86">
        <v>3.45</v>
      </c>
      <c r="C20" s="84"/>
      <c r="D20" s="87"/>
      <c r="F20" s="112"/>
      <c r="G20" s="6" t="s">
        <v>136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13"/>
    </row>
    <row r="21" spans="1:25" ht="15.75" customHeight="1">
      <c r="A21" s="2" t="s">
        <v>87</v>
      </c>
      <c r="B21" s="14">
        <v>5</v>
      </c>
      <c r="C21" s="14">
        <v>19.399999999999999</v>
      </c>
      <c r="D21" s="57">
        <v>3.38</v>
      </c>
      <c r="F21" s="16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114"/>
    </row>
    <row r="22" spans="1:25" ht="15.75" customHeight="1">
      <c r="A22" s="2" t="s">
        <v>90</v>
      </c>
      <c r="B22" s="108">
        <v>5.4</v>
      </c>
      <c r="C22" s="115"/>
      <c r="D22" s="116">
        <v>9</v>
      </c>
      <c r="F22" s="33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117"/>
    </row>
    <row r="23" spans="1:25" ht="15.75" customHeight="1">
      <c r="A23" s="2" t="s">
        <v>36</v>
      </c>
      <c r="B23" s="108">
        <v>250</v>
      </c>
      <c r="C23" s="115"/>
      <c r="D23" s="116">
        <v>73</v>
      </c>
    </row>
    <row r="24" spans="1:25" ht="15.75" customHeight="1">
      <c r="A24" s="2" t="s">
        <v>99</v>
      </c>
      <c r="B24" s="108">
        <v>3.5</v>
      </c>
      <c r="C24" s="115"/>
      <c r="D24" s="116">
        <v>229</v>
      </c>
    </row>
    <row r="25" spans="1:25" ht="15.75" customHeight="1">
      <c r="A25" s="2" t="s">
        <v>101</v>
      </c>
      <c r="B25" s="108">
        <v>0.39</v>
      </c>
      <c r="C25" s="115"/>
      <c r="D25" s="116">
        <v>228</v>
      </c>
      <c r="E25" s="14" t="s">
        <v>137</v>
      </c>
    </row>
    <row r="26" spans="1:25" ht="15.75" customHeight="1">
      <c r="A26" s="2" t="s">
        <v>39</v>
      </c>
      <c r="B26" s="14">
        <v>5</v>
      </c>
      <c r="D26" s="4"/>
    </row>
    <row r="27" spans="1:25" ht="15.75" customHeight="1">
      <c r="A27" s="47" t="s">
        <v>40</v>
      </c>
      <c r="B27" s="48">
        <v>20</v>
      </c>
      <c r="C27" s="48"/>
      <c r="D27" s="50"/>
      <c r="F27" s="14" t="s">
        <v>96</v>
      </c>
      <c r="G27" s="89">
        <f>(G28/G29)*100</f>
        <v>100.33531080732526</v>
      </c>
    </row>
    <row r="28" spans="1:25" ht="15.75" customHeight="1">
      <c r="F28" s="14" t="s">
        <v>97</v>
      </c>
      <c r="G28">
        <f>B24+B25</f>
        <v>3.89</v>
      </c>
    </row>
    <row r="29" spans="1:25" ht="15.75" customHeight="1">
      <c r="A29" s="138" t="s">
        <v>41</v>
      </c>
      <c r="B29" s="139"/>
      <c r="C29" s="139"/>
      <c r="D29" s="140"/>
      <c r="F29" s="14" t="s">
        <v>100</v>
      </c>
      <c r="G29">
        <f>(B3+C11)/1000</f>
        <v>3.8769999999999998</v>
      </c>
    </row>
    <row r="30" spans="1:25" ht="15.75" customHeight="1">
      <c r="A30" s="2" t="s">
        <v>42</v>
      </c>
      <c r="B30" s="14" t="s">
        <v>43</v>
      </c>
      <c r="C30" s="14" t="s">
        <v>44</v>
      </c>
      <c r="D30" s="15" t="s">
        <v>45</v>
      </c>
    </row>
    <row r="31" spans="1:25" ht="15.75" customHeight="1">
      <c r="A31" s="2" t="s">
        <v>46</v>
      </c>
      <c r="B31" s="14">
        <v>2</v>
      </c>
      <c r="C31" s="14">
        <v>2</v>
      </c>
      <c r="D31" s="15">
        <v>3</v>
      </c>
    </row>
    <row r="32" spans="1:25" ht="15.75" customHeight="1">
      <c r="A32" s="2" t="s">
        <v>47</v>
      </c>
      <c r="B32" s="14">
        <v>2</v>
      </c>
      <c r="C32" s="14">
        <v>1</v>
      </c>
      <c r="D32" s="15">
        <v>2</v>
      </c>
    </row>
    <row r="33" spans="1:4" ht="15.75" customHeight="1">
      <c r="A33" s="47" t="s">
        <v>48</v>
      </c>
      <c r="B33" s="48">
        <v>2</v>
      </c>
      <c r="C33" s="48">
        <v>1</v>
      </c>
      <c r="D33" s="58">
        <v>1</v>
      </c>
    </row>
  </sheetData>
  <mergeCells count="4">
    <mergeCell ref="A1:D1"/>
    <mergeCell ref="A9:D9"/>
    <mergeCell ref="A19:D19"/>
    <mergeCell ref="A29:D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35"/>
  <sheetViews>
    <sheetView workbookViewId="0"/>
  </sheetViews>
  <sheetFormatPr baseColWidth="10" defaultColWidth="14.42578125" defaultRowHeight="15.75" customHeight="1"/>
  <cols>
    <col min="1" max="1" width="28.85546875" customWidth="1"/>
    <col min="3" max="3" width="17.42578125" customWidth="1"/>
    <col min="6" max="6" width="18.42578125" customWidth="1"/>
    <col min="7" max="7" width="18" customWidth="1"/>
    <col min="8" max="8" width="11.42578125" customWidth="1"/>
    <col min="9" max="9" width="10.7109375" customWidth="1"/>
    <col min="10" max="11" width="16.85546875" customWidth="1"/>
    <col min="12" max="12" width="13.140625" customWidth="1"/>
    <col min="13" max="13" width="13.7109375" customWidth="1"/>
    <col min="14" max="14" width="11.28515625" customWidth="1"/>
    <col min="15" max="15" width="16.7109375" customWidth="1"/>
    <col min="16" max="17" width="16.28515625" customWidth="1"/>
    <col min="18" max="18" width="4.7109375" customWidth="1"/>
    <col min="19" max="19" width="19.140625" customWidth="1"/>
    <col min="20" max="20" width="7.140625" customWidth="1"/>
    <col min="21" max="21" width="17.42578125" customWidth="1"/>
    <col min="22" max="22" width="15.7109375" customWidth="1"/>
  </cols>
  <sheetData>
    <row r="1" spans="1:26" ht="15.75" customHeight="1">
      <c r="A1" s="138" t="s">
        <v>0</v>
      </c>
      <c r="B1" s="139"/>
      <c r="C1" s="139"/>
      <c r="D1" s="140"/>
      <c r="F1" s="64" t="s">
        <v>1</v>
      </c>
      <c r="G1" s="64" t="s">
        <v>2</v>
      </c>
      <c r="H1" s="64" t="s">
        <v>3</v>
      </c>
      <c r="I1" s="64" t="s">
        <v>4</v>
      </c>
      <c r="J1" s="64" t="s">
        <v>5</v>
      </c>
      <c r="K1" s="64" t="s">
        <v>6</v>
      </c>
      <c r="L1" s="64" t="s">
        <v>7</v>
      </c>
      <c r="M1" s="64" t="s">
        <v>8</v>
      </c>
      <c r="N1" s="64" t="s">
        <v>9</v>
      </c>
      <c r="O1" s="64" t="s">
        <v>10</v>
      </c>
      <c r="P1" s="64" t="s">
        <v>11</v>
      </c>
      <c r="Q1" s="64" t="s">
        <v>12</v>
      </c>
      <c r="R1" s="64" t="s">
        <v>13</v>
      </c>
      <c r="S1" s="64" t="s">
        <v>14</v>
      </c>
      <c r="T1" s="64" t="s">
        <v>15</v>
      </c>
      <c r="U1" s="64" t="s">
        <v>16</v>
      </c>
      <c r="V1" s="64" t="s">
        <v>17</v>
      </c>
      <c r="W1" s="64" t="s">
        <v>18</v>
      </c>
      <c r="X1" s="64" t="s">
        <v>19</v>
      </c>
      <c r="Y1" s="64" t="s">
        <v>49</v>
      </c>
      <c r="Z1" s="64" t="s">
        <v>54</v>
      </c>
    </row>
    <row r="2" spans="1:26" ht="15.75" customHeight="1">
      <c r="A2" s="2" t="s">
        <v>20</v>
      </c>
      <c r="B2" s="3">
        <v>12.84</v>
      </c>
      <c r="D2" s="4"/>
      <c r="F2" s="5"/>
      <c r="G2" s="6" t="s">
        <v>138</v>
      </c>
      <c r="H2" s="7">
        <v>43902</v>
      </c>
      <c r="I2" s="8">
        <v>0.68333333333333335</v>
      </c>
      <c r="J2" s="70">
        <v>0</v>
      </c>
      <c r="K2" s="6">
        <v>207.57</v>
      </c>
      <c r="L2" s="6">
        <v>111.46</v>
      </c>
      <c r="M2" s="6">
        <v>96.11</v>
      </c>
      <c r="N2" s="6">
        <v>228</v>
      </c>
      <c r="O2" s="6">
        <v>1097.2</v>
      </c>
      <c r="P2" s="6">
        <v>23.6</v>
      </c>
      <c r="Q2" s="6">
        <v>20.100000000000001</v>
      </c>
      <c r="R2" s="10">
        <v>3.39</v>
      </c>
      <c r="S2" s="6">
        <v>199</v>
      </c>
      <c r="T2" s="11" t="s">
        <v>29</v>
      </c>
      <c r="U2" s="6">
        <v>818</v>
      </c>
      <c r="V2" s="12">
        <v>14</v>
      </c>
      <c r="W2" s="12">
        <v>36</v>
      </c>
      <c r="X2" s="12" t="s">
        <v>29</v>
      </c>
      <c r="Y2" s="12" t="s">
        <v>29</v>
      </c>
      <c r="Z2" s="13" t="s">
        <v>29</v>
      </c>
    </row>
    <row r="3" spans="1:26" ht="15.75" customHeight="1">
      <c r="A3" s="2" t="s">
        <v>21</v>
      </c>
      <c r="B3" s="14">
        <v>7000</v>
      </c>
      <c r="C3" s="14" t="s">
        <v>22</v>
      </c>
      <c r="D3" s="15">
        <v>7.718</v>
      </c>
      <c r="F3" s="16"/>
      <c r="G3" s="17" t="s">
        <v>139</v>
      </c>
      <c r="H3" s="24">
        <v>43903</v>
      </c>
      <c r="I3" s="19">
        <v>0.54166666666666663</v>
      </c>
      <c r="J3" s="73">
        <f>36+(24-17)*60+13*60</f>
        <v>1236</v>
      </c>
      <c r="K3" s="17">
        <v>205.28</v>
      </c>
      <c r="L3" s="17">
        <v>102.92</v>
      </c>
      <c r="M3" s="17">
        <v>102.37</v>
      </c>
      <c r="N3" s="17">
        <v>201</v>
      </c>
      <c r="O3" s="17">
        <v>1095.3</v>
      </c>
      <c r="P3" s="17">
        <v>23.1</v>
      </c>
      <c r="Q3" s="20">
        <v>19.399999999999999</v>
      </c>
      <c r="R3" s="17" t="s">
        <v>29</v>
      </c>
      <c r="S3" s="17">
        <v>442</v>
      </c>
      <c r="T3" s="21" t="s">
        <v>29</v>
      </c>
      <c r="U3" s="17" t="s">
        <v>29</v>
      </c>
      <c r="V3" s="21" t="s">
        <v>29</v>
      </c>
      <c r="W3" s="21" t="s">
        <v>29</v>
      </c>
      <c r="X3" s="21" t="s">
        <v>29</v>
      </c>
      <c r="Y3" s="21" t="s">
        <v>29</v>
      </c>
      <c r="Z3" s="22" t="s">
        <v>29</v>
      </c>
    </row>
    <row r="4" spans="1:26" ht="15.75" customHeight="1">
      <c r="A4" s="2" t="s">
        <v>23</v>
      </c>
      <c r="B4" s="14">
        <v>4.694</v>
      </c>
      <c r="D4" s="4"/>
      <c r="F4" s="23"/>
      <c r="G4" s="17" t="s">
        <v>140</v>
      </c>
      <c r="H4" s="24">
        <v>43903</v>
      </c>
      <c r="I4" s="19">
        <v>0.70138888888888884</v>
      </c>
      <c r="J4" s="73">
        <f>J3+3*60+50</f>
        <v>1466</v>
      </c>
      <c r="K4" s="17">
        <v>186.07</v>
      </c>
      <c r="L4" s="17">
        <v>99.52</v>
      </c>
      <c r="M4" s="17">
        <v>86.56</v>
      </c>
      <c r="N4" s="17">
        <v>213</v>
      </c>
      <c r="O4" s="17" t="s">
        <v>29</v>
      </c>
      <c r="P4" s="17" t="s">
        <v>29</v>
      </c>
      <c r="Q4" s="17" t="s">
        <v>29</v>
      </c>
      <c r="R4" s="17">
        <v>3.72</v>
      </c>
      <c r="S4" s="17">
        <v>120</v>
      </c>
      <c r="T4" s="21" t="s">
        <v>29</v>
      </c>
      <c r="U4" s="17">
        <v>679</v>
      </c>
      <c r="V4" s="21">
        <v>0</v>
      </c>
      <c r="W4" s="21">
        <v>14</v>
      </c>
      <c r="X4" s="21" t="s">
        <v>29</v>
      </c>
      <c r="Y4" s="21" t="s">
        <v>29</v>
      </c>
      <c r="Z4" s="22" t="s">
        <v>29</v>
      </c>
    </row>
    <row r="5" spans="1:26" ht="15.75" customHeight="1">
      <c r="A5" s="2" t="s">
        <v>24</v>
      </c>
      <c r="B5">
        <f>(D3/B2)*100</f>
        <v>60.109034267912776</v>
      </c>
      <c r="C5">
        <f>(B4/B2)*100</f>
        <v>36.557632398753896</v>
      </c>
      <c r="D5" s="4">
        <f>100-B5-C5</f>
        <v>3.3333333333333286</v>
      </c>
      <c r="F5" s="16"/>
      <c r="G5" s="17" t="s">
        <v>141</v>
      </c>
      <c r="H5" s="24">
        <v>43906</v>
      </c>
      <c r="I5" s="19">
        <v>0.42777777777777776</v>
      </c>
      <c r="J5" s="73">
        <f>10+(24-15)*60+24*60*2+10*60+16+J4</f>
        <v>5512</v>
      </c>
      <c r="K5" s="20">
        <v>122.17</v>
      </c>
      <c r="L5" s="20">
        <v>44.6</v>
      </c>
      <c r="M5" s="17">
        <v>77.569999999999993</v>
      </c>
      <c r="N5" s="17">
        <v>43</v>
      </c>
      <c r="O5" s="17">
        <v>1054.5999999999999</v>
      </c>
      <c r="P5" s="17">
        <v>13.8</v>
      </c>
      <c r="Q5" s="20">
        <v>17.5</v>
      </c>
      <c r="R5" s="17" t="s">
        <v>29</v>
      </c>
      <c r="S5" s="17">
        <v>582</v>
      </c>
      <c r="T5" s="21">
        <v>28.471</v>
      </c>
      <c r="U5" s="17">
        <v>1324</v>
      </c>
      <c r="V5" s="21" t="s">
        <v>29</v>
      </c>
      <c r="W5" s="21" t="s">
        <v>29</v>
      </c>
      <c r="X5" s="21" t="s">
        <v>29</v>
      </c>
      <c r="Y5" s="21" t="s">
        <v>29</v>
      </c>
      <c r="Z5" s="22" t="s">
        <v>29</v>
      </c>
    </row>
    <row r="6" spans="1:26" ht="15.75" customHeight="1">
      <c r="A6" s="26" t="s">
        <v>25</v>
      </c>
      <c r="B6" s="27"/>
      <c r="C6" s="28" t="s">
        <v>26</v>
      </c>
      <c r="D6" s="27">
        <v>2500</v>
      </c>
      <c r="F6" s="23"/>
      <c r="G6" s="17" t="s">
        <v>142</v>
      </c>
      <c r="H6" s="24">
        <v>43906</v>
      </c>
      <c r="I6" s="19">
        <v>0.68055555555555558</v>
      </c>
      <c r="J6" s="92">
        <f>44+5*60+20+J5</f>
        <v>5876</v>
      </c>
      <c r="K6" s="20">
        <v>115.5</v>
      </c>
      <c r="L6" s="17">
        <v>41.93</v>
      </c>
      <c r="M6" s="17">
        <v>73.58</v>
      </c>
      <c r="N6" s="17">
        <v>42</v>
      </c>
      <c r="O6" s="17">
        <v>1050.2</v>
      </c>
      <c r="P6" s="29">
        <v>12.8</v>
      </c>
      <c r="Q6" s="17">
        <v>18.899999999999999</v>
      </c>
      <c r="R6" s="17" t="s">
        <v>29</v>
      </c>
      <c r="S6" s="17">
        <v>593</v>
      </c>
      <c r="T6" s="30">
        <v>28.805</v>
      </c>
      <c r="U6" s="17">
        <v>1355</v>
      </c>
      <c r="V6" s="21" t="s">
        <v>29</v>
      </c>
      <c r="W6" s="21" t="s">
        <v>29</v>
      </c>
      <c r="X6" s="21" t="s">
        <v>29</v>
      </c>
      <c r="Y6" s="21" t="s">
        <v>29</v>
      </c>
      <c r="Z6" s="22" t="s">
        <v>29</v>
      </c>
    </row>
    <row r="7" spans="1:26" ht="15.75" customHeight="1">
      <c r="F7" s="23" t="s">
        <v>143</v>
      </c>
      <c r="G7" s="17" t="s">
        <v>144</v>
      </c>
      <c r="H7" s="24">
        <v>43907</v>
      </c>
      <c r="I7" s="19">
        <v>0.39374999999999999</v>
      </c>
      <c r="J7" s="73">
        <f>40+(24-17)*60+9*60+27+J6</f>
        <v>6903</v>
      </c>
      <c r="K7" s="17">
        <v>97.19</v>
      </c>
      <c r="L7" s="17">
        <v>31.35</v>
      </c>
      <c r="M7" s="17">
        <v>65.84</v>
      </c>
      <c r="N7" s="17">
        <v>40</v>
      </c>
      <c r="O7" s="29">
        <v>1040.7</v>
      </c>
      <c r="P7" s="29">
        <v>10.5</v>
      </c>
      <c r="Q7" s="20">
        <v>18</v>
      </c>
      <c r="R7" s="17" t="s">
        <v>29</v>
      </c>
      <c r="S7" s="17">
        <v>561</v>
      </c>
      <c r="T7" s="21">
        <v>25.306999999999999</v>
      </c>
      <c r="U7" s="17">
        <v>1379</v>
      </c>
      <c r="V7" s="21" t="s">
        <v>29</v>
      </c>
      <c r="W7" s="21" t="s">
        <v>29</v>
      </c>
      <c r="X7" s="21" t="s">
        <v>29</v>
      </c>
      <c r="Y7" s="21" t="s">
        <v>29</v>
      </c>
      <c r="Z7" s="22" t="s">
        <v>29</v>
      </c>
    </row>
    <row r="8" spans="1:26" ht="15.75" customHeight="1">
      <c r="F8" s="23" t="s">
        <v>145</v>
      </c>
      <c r="G8" s="17" t="s">
        <v>146</v>
      </c>
      <c r="H8" s="24">
        <v>43907</v>
      </c>
      <c r="I8" s="19">
        <v>0.40069444444444446</v>
      </c>
      <c r="J8" s="73">
        <f>J7+10</f>
        <v>6913</v>
      </c>
      <c r="K8" s="17">
        <v>97.19</v>
      </c>
      <c r="L8" s="17">
        <v>31.35</v>
      </c>
      <c r="M8" s="17">
        <v>65.84</v>
      </c>
      <c r="N8" s="17">
        <v>113</v>
      </c>
      <c r="O8" s="29">
        <v>1040.7</v>
      </c>
      <c r="P8" s="29">
        <v>10.5</v>
      </c>
      <c r="Q8" s="20">
        <v>18</v>
      </c>
      <c r="R8" s="17" t="s">
        <v>29</v>
      </c>
      <c r="S8" s="17">
        <v>561</v>
      </c>
      <c r="T8" s="21">
        <v>25.306999999999999</v>
      </c>
      <c r="U8" s="17">
        <v>1379</v>
      </c>
      <c r="V8" s="21" t="s">
        <v>29</v>
      </c>
      <c r="W8" s="21" t="s">
        <v>29</v>
      </c>
      <c r="X8" s="21" t="s">
        <v>29</v>
      </c>
      <c r="Y8" s="21" t="s">
        <v>29</v>
      </c>
      <c r="Z8" s="22" t="s">
        <v>29</v>
      </c>
    </row>
    <row r="9" spans="1:26" ht="15.75" customHeight="1">
      <c r="A9" s="138" t="s">
        <v>27</v>
      </c>
      <c r="B9" s="139"/>
      <c r="C9" s="139"/>
      <c r="D9" s="140"/>
      <c r="F9" s="16"/>
      <c r="G9" s="17" t="s">
        <v>147</v>
      </c>
      <c r="H9" s="24">
        <v>43907</v>
      </c>
      <c r="I9" s="19">
        <v>0.67847222222222225</v>
      </c>
      <c r="J9" s="73">
        <f>23+6*60+17+J8</f>
        <v>7313</v>
      </c>
      <c r="K9" s="17">
        <v>78.36</v>
      </c>
      <c r="L9" s="17">
        <v>22.47</v>
      </c>
      <c r="M9" s="20">
        <v>55.89</v>
      </c>
      <c r="N9" s="17">
        <v>57</v>
      </c>
      <c r="O9" s="29">
        <v>1031.5</v>
      </c>
      <c r="P9" s="29">
        <v>8.5</v>
      </c>
      <c r="Q9" s="20">
        <v>21.8</v>
      </c>
      <c r="R9" s="31" t="s">
        <v>29</v>
      </c>
      <c r="S9" s="17">
        <v>609</v>
      </c>
      <c r="T9" s="21">
        <v>28.029</v>
      </c>
      <c r="U9" s="17">
        <v>1419</v>
      </c>
      <c r="V9" s="21" t="s">
        <v>29</v>
      </c>
      <c r="W9" s="21" t="s">
        <v>29</v>
      </c>
      <c r="X9" s="21" t="s">
        <v>29</v>
      </c>
      <c r="Y9" s="21" t="s">
        <v>29</v>
      </c>
      <c r="Z9" s="22" t="s">
        <v>29</v>
      </c>
    </row>
    <row r="10" spans="1:26" ht="15.75" customHeight="1">
      <c r="A10" s="74" t="s">
        <v>10</v>
      </c>
      <c r="B10" s="86">
        <v>1117</v>
      </c>
      <c r="C10" s="86">
        <v>1099.4000000000001</v>
      </c>
      <c r="D10" s="87">
        <v>1097.2</v>
      </c>
      <c r="F10" s="23"/>
      <c r="G10" s="17" t="s">
        <v>148</v>
      </c>
      <c r="H10" s="24">
        <v>43908</v>
      </c>
      <c r="I10" s="19">
        <v>0.39305555555555555</v>
      </c>
      <c r="J10" s="73">
        <f>43+(24-17)*60+9*60+26+J9</f>
        <v>8342</v>
      </c>
      <c r="K10" s="17">
        <v>57.4</v>
      </c>
      <c r="L10" s="17">
        <v>13.75</v>
      </c>
      <c r="M10" s="20">
        <v>43.36</v>
      </c>
      <c r="N10" s="17">
        <v>60</v>
      </c>
      <c r="O10" s="17">
        <v>1017.1</v>
      </c>
      <c r="P10" s="17">
        <v>4.8</v>
      </c>
      <c r="Q10" s="17">
        <v>20</v>
      </c>
      <c r="R10" s="17" t="s">
        <v>29</v>
      </c>
      <c r="S10" s="17">
        <v>492</v>
      </c>
      <c r="T10" s="21" t="s">
        <v>29</v>
      </c>
      <c r="U10" s="17">
        <v>1324</v>
      </c>
      <c r="V10" s="21" t="s">
        <v>29</v>
      </c>
      <c r="W10" s="21" t="s">
        <v>29</v>
      </c>
      <c r="X10" s="21" t="s">
        <v>29</v>
      </c>
      <c r="Y10" s="21" t="s">
        <v>29</v>
      </c>
      <c r="Z10" s="22" t="s">
        <v>29</v>
      </c>
    </row>
    <row r="11" spans="1:26" ht="15.75" customHeight="1">
      <c r="A11" s="2" t="s">
        <v>68</v>
      </c>
      <c r="C11" s="108">
        <v>1310</v>
      </c>
      <c r="D11" s="116">
        <v>210</v>
      </c>
      <c r="F11" s="23"/>
      <c r="G11" s="17" t="s">
        <v>149</v>
      </c>
      <c r="H11" s="24">
        <v>43909</v>
      </c>
      <c r="I11" s="19">
        <v>0.66666666666666663</v>
      </c>
      <c r="J11" s="73">
        <f>34+(24-10)*60+16*60+J10</f>
        <v>10176</v>
      </c>
      <c r="K11" s="17" t="s">
        <v>29</v>
      </c>
      <c r="L11" s="17" t="s">
        <v>29</v>
      </c>
      <c r="M11" s="17" t="s">
        <v>29</v>
      </c>
      <c r="N11" s="17" t="s">
        <v>29</v>
      </c>
      <c r="O11" s="29">
        <v>1006.8</v>
      </c>
      <c r="P11" s="17">
        <v>2.2000000000000002</v>
      </c>
      <c r="Q11" s="17">
        <v>20</v>
      </c>
      <c r="R11" s="17"/>
      <c r="S11" s="17"/>
      <c r="T11" s="21"/>
      <c r="U11" s="17" t="s">
        <v>29</v>
      </c>
      <c r="V11" s="21" t="s">
        <v>29</v>
      </c>
      <c r="W11" s="21" t="s">
        <v>29</v>
      </c>
      <c r="X11" s="21" t="s">
        <v>29</v>
      </c>
      <c r="Y11" s="21" t="s">
        <v>29</v>
      </c>
      <c r="Z11" s="22"/>
    </row>
    <row r="12" spans="1:26" ht="15.75" customHeight="1">
      <c r="A12" s="2" t="s">
        <v>11</v>
      </c>
      <c r="B12" s="14">
        <v>27.9</v>
      </c>
      <c r="C12" s="14">
        <v>24.1</v>
      </c>
      <c r="D12" s="15">
        <v>23.6</v>
      </c>
      <c r="F12" s="23"/>
      <c r="G12" s="17" t="s">
        <v>150</v>
      </c>
      <c r="H12" s="24">
        <v>43910</v>
      </c>
      <c r="I12" s="19">
        <v>0.61111111111111116</v>
      </c>
      <c r="J12" s="73">
        <f>(24-1)*60+14*60+J11+40</f>
        <v>12436</v>
      </c>
      <c r="K12" s="17" t="s">
        <v>29</v>
      </c>
      <c r="L12" s="17" t="s">
        <v>29</v>
      </c>
      <c r="M12" s="17" t="s">
        <v>29</v>
      </c>
      <c r="N12" s="17" t="s">
        <v>29</v>
      </c>
      <c r="O12" s="29">
        <v>1001.3</v>
      </c>
      <c r="P12" s="17">
        <v>0.8</v>
      </c>
      <c r="Q12" s="17">
        <v>19.7</v>
      </c>
      <c r="R12" s="17" t="s">
        <v>29</v>
      </c>
      <c r="S12" s="17" t="s">
        <v>29</v>
      </c>
      <c r="T12" s="21" t="s">
        <v>29</v>
      </c>
      <c r="U12" s="17" t="s">
        <v>29</v>
      </c>
      <c r="V12" s="21" t="s">
        <v>29</v>
      </c>
      <c r="W12" s="21" t="s">
        <v>29</v>
      </c>
      <c r="X12" s="21" t="s">
        <v>29</v>
      </c>
      <c r="Y12" s="21" t="s">
        <v>29</v>
      </c>
      <c r="Z12" s="22" t="s">
        <v>29</v>
      </c>
    </row>
    <row r="13" spans="1:26" ht="15.75" customHeight="1">
      <c r="A13" s="2" t="s">
        <v>13</v>
      </c>
      <c r="B13" s="14">
        <v>4.09</v>
      </c>
      <c r="D13" s="4"/>
      <c r="F13" s="82" t="s">
        <v>151</v>
      </c>
      <c r="G13" s="36" t="s">
        <v>152</v>
      </c>
      <c r="H13" s="34">
        <v>43911</v>
      </c>
      <c r="I13" s="35">
        <v>0.67708333333333337</v>
      </c>
      <c r="J13" s="118">
        <f>20+(24-15)*60+16*60+15+J12</f>
        <v>13971</v>
      </c>
      <c r="K13" s="36">
        <v>7.06</v>
      </c>
      <c r="L13" s="36">
        <v>0.2</v>
      </c>
      <c r="M13" s="36">
        <v>6.86</v>
      </c>
      <c r="N13" s="36">
        <v>26</v>
      </c>
      <c r="O13" s="36">
        <v>995.4</v>
      </c>
      <c r="P13" s="36">
        <v>-0.5</v>
      </c>
      <c r="Q13" s="36">
        <v>20</v>
      </c>
      <c r="R13" s="36">
        <v>3.39</v>
      </c>
      <c r="S13" s="36">
        <v>590</v>
      </c>
      <c r="T13" s="38" t="s">
        <v>29</v>
      </c>
      <c r="U13" s="36">
        <v>1560</v>
      </c>
      <c r="V13" s="38" t="s">
        <v>29</v>
      </c>
      <c r="W13" s="38" t="s">
        <v>29</v>
      </c>
      <c r="X13" s="38">
        <v>0.61</v>
      </c>
      <c r="Y13" s="38">
        <v>0.33</v>
      </c>
      <c r="Z13" s="39">
        <v>10.3</v>
      </c>
    </row>
    <row r="14" spans="1:26" ht="15.75" customHeight="1">
      <c r="A14" s="2" t="s">
        <v>77</v>
      </c>
      <c r="B14" s="77" t="s">
        <v>104</v>
      </c>
      <c r="D14" s="4"/>
      <c r="F14" s="112"/>
      <c r="G14" s="6" t="s">
        <v>153</v>
      </c>
      <c r="H14" s="7">
        <v>43915</v>
      </c>
      <c r="I14" s="8">
        <v>0.60763888888888884</v>
      </c>
      <c r="J14" s="6"/>
      <c r="K14" s="6">
        <v>2.82</v>
      </c>
      <c r="L14" s="6">
        <v>7.0000000000000007E-2</v>
      </c>
      <c r="M14" s="6">
        <v>2.75</v>
      </c>
      <c r="N14" s="6"/>
      <c r="O14" s="6"/>
      <c r="P14" s="6"/>
      <c r="Q14" s="6">
        <f>AVERAGE(Q2:Q13)</f>
        <v>19.400000000000002</v>
      </c>
      <c r="R14" s="6">
        <v>3.45</v>
      </c>
      <c r="S14" s="6" t="s">
        <v>29</v>
      </c>
      <c r="T14" s="12"/>
      <c r="U14" s="6"/>
      <c r="V14" s="12"/>
      <c r="W14" s="59"/>
      <c r="X14" s="12">
        <v>0.54</v>
      </c>
      <c r="Y14" s="12">
        <v>0.37</v>
      </c>
      <c r="Z14" s="13">
        <v>10.4</v>
      </c>
    </row>
    <row r="15" spans="1:26" ht="15.75" customHeight="1">
      <c r="A15" s="2" t="s">
        <v>28</v>
      </c>
      <c r="B15" s="14" t="s">
        <v>29</v>
      </c>
      <c r="D15" s="4"/>
      <c r="F15" s="16"/>
      <c r="G15" s="41" t="s">
        <v>154</v>
      </c>
      <c r="H15" s="24">
        <v>43921</v>
      </c>
      <c r="I15" s="51"/>
      <c r="J15" s="25"/>
      <c r="K15" s="17">
        <v>1.64</v>
      </c>
      <c r="L15" s="17">
        <v>0.05</v>
      </c>
      <c r="M15" s="17">
        <v>1.59</v>
      </c>
      <c r="N15" s="25"/>
      <c r="O15" s="25"/>
      <c r="P15" s="25"/>
      <c r="Q15" s="25"/>
      <c r="R15" s="17">
        <v>3.38</v>
      </c>
      <c r="S15" s="25"/>
      <c r="T15" s="52"/>
      <c r="U15" s="25"/>
      <c r="V15" s="52"/>
      <c r="W15" s="119"/>
      <c r="X15" s="21">
        <v>0.49</v>
      </c>
      <c r="Y15" s="21">
        <v>0.39</v>
      </c>
      <c r="Z15" s="53"/>
    </row>
    <row r="16" spans="1:26" ht="15.75" customHeight="1">
      <c r="A16" s="2" t="s">
        <v>30</v>
      </c>
      <c r="B16" s="14" t="s">
        <v>29</v>
      </c>
      <c r="D16" s="4"/>
      <c r="F16" s="94" t="s">
        <v>155</v>
      </c>
      <c r="G16" s="62" t="s">
        <v>156</v>
      </c>
      <c r="H16" s="95">
        <v>43934</v>
      </c>
      <c r="I16" s="120"/>
      <c r="J16" s="111"/>
      <c r="K16" s="62" t="s">
        <v>29</v>
      </c>
      <c r="L16" s="62" t="s">
        <v>29</v>
      </c>
      <c r="M16" s="62" t="s">
        <v>29</v>
      </c>
      <c r="N16" s="111"/>
      <c r="O16" s="111"/>
      <c r="P16" s="111"/>
      <c r="Q16" s="111"/>
      <c r="R16" s="62">
        <v>3.37</v>
      </c>
      <c r="S16" s="111"/>
      <c r="T16" s="121"/>
      <c r="U16" s="111"/>
      <c r="V16" s="121"/>
      <c r="W16" s="121"/>
      <c r="X16" s="63">
        <v>0.45</v>
      </c>
      <c r="Y16" s="63">
        <v>0.51</v>
      </c>
      <c r="Z16" s="122"/>
    </row>
    <row r="17" spans="1:26" ht="15.75" customHeight="1">
      <c r="A17" s="47" t="s">
        <v>31</v>
      </c>
      <c r="B17" s="48">
        <v>113</v>
      </c>
      <c r="C17" s="49"/>
      <c r="D17" s="50"/>
      <c r="F17" s="16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114"/>
    </row>
    <row r="18" spans="1:26" ht="15.75" customHeight="1">
      <c r="F18" s="16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114"/>
    </row>
    <row r="19" spans="1:26" ht="15.75" customHeight="1">
      <c r="A19" s="138" t="s">
        <v>32</v>
      </c>
      <c r="B19" s="139"/>
      <c r="C19" s="139"/>
      <c r="D19" s="140"/>
      <c r="F19" s="33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117"/>
    </row>
    <row r="20" spans="1:26" ht="15.75" customHeight="1">
      <c r="A20" s="74" t="s">
        <v>33</v>
      </c>
      <c r="B20" s="86">
        <v>3.45</v>
      </c>
      <c r="C20" s="84"/>
      <c r="D20" s="87">
        <v>4.09</v>
      </c>
    </row>
    <row r="21" spans="1:26" ht="15.75" customHeight="1">
      <c r="A21" s="2" t="s">
        <v>34</v>
      </c>
      <c r="B21" s="14">
        <v>5</v>
      </c>
      <c r="C21" s="14">
        <v>42.6</v>
      </c>
      <c r="D21" s="57">
        <v>3.58</v>
      </c>
    </row>
    <row r="22" spans="1:26" ht="15.75" customHeight="1">
      <c r="A22" s="2" t="s">
        <v>90</v>
      </c>
      <c r="B22" s="77" t="s">
        <v>104</v>
      </c>
      <c r="D22" s="78" t="s">
        <v>157</v>
      </c>
    </row>
    <row r="23" spans="1:26" ht="15.75" customHeight="1">
      <c r="A23" s="2" t="s">
        <v>35</v>
      </c>
      <c r="B23" s="14">
        <v>2.5</v>
      </c>
      <c r="C23" s="14">
        <v>21.3</v>
      </c>
      <c r="D23" s="57">
        <v>3.47</v>
      </c>
      <c r="F23" s="14" t="s">
        <v>96</v>
      </c>
      <c r="G23" s="89">
        <f>(G24/G25)*100</f>
        <v>90.02347417840376</v>
      </c>
    </row>
    <row r="24" spans="1:26" ht="15.75" customHeight="1">
      <c r="A24" s="2" t="s">
        <v>158</v>
      </c>
      <c r="B24" s="77" t="s">
        <v>104</v>
      </c>
      <c r="D24" s="78" t="s">
        <v>159</v>
      </c>
      <c r="F24" s="14" t="s">
        <v>97</v>
      </c>
      <c r="G24">
        <f>B26+B27</f>
        <v>7.67</v>
      </c>
    </row>
    <row r="25" spans="1:26" ht="15.75" customHeight="1">
      <c r="A25" s="2" t="s">
        <v>36</v>
      </c>
      <c r="B25" s="14">
        <v>250</v>
      </c>
      <c r="D25" s="15">
        <v>113</v>
      </c>
      <c r="F25" s="14" t="s">
        <v>100</v>
      </c>
      <c r="G25">
        <f>(B3+C11+D11)/1000</f>
        <v>8.52</v>
      </c>
    </row>
    <row r="26" spans="1:26" ht="15.75" customHeight="1">
      <c r="A26" s="2" t="s">
        <v>37</v>
      </c>
      <c r="B26" s="14">
        <v>5.59</v>
      </c>
      <c r="D26" s="15">
        <v>200</v>
      </c>
    </row>
    <row r="27" spans="1:26" ht="15.75" customHeight="1">
      <c r="A27" s="2" t="s">
        <v>38</v>
      </c>
      <c r="B27" s="14">
        <v>2.08</v>
      </c>
      <c r="D27" s="15">
        <v>227</v>
      </c>
    </row>
    <row r="28" spans="1:26" ht="15.75" customHeight="1">
      <c r="A28" s="2" t="s">
        <v>39</v>
      </c>
      <c r="B28" s="14">
        <v>5</v>
      </c>
      <c r="C28" s="14">
        <v>8.5</v>
      </c>
      <c r="D28" s="4"/>
    </row>
    <row r="29" spans="1:26" ht="15.75" customHeight="1">
      <c r="A29" s="47" t="s">
        <v>40</v>
      </c>
      <c r="B29" s="48">
        <v>20</v>
      </c>
      <c r="C29" s="48"/>
      <c r="D29" s="50"/>
    </row>
    <row r="31" spans="1:26" ht="15.75" customHeight="1">
      <c r="A31" s="138" t="s">
        <v>41</v>
      </c>
      <c r="B31" s="139"/>
      <c r="C31" s="139"/>
      <c r="D31" s="140"/>
    </row>
    <row r="32" spans="1:26" ht="15.75" customHeight="1">
      <c r="A32" s="2" t="s">
        <v>42</v>
      </c>
      <c r="B32" s="14" t="s">
        <v>43</v>
      </c>
      <c r="C32" s="14" t="s">
        <v>44</v>
      </c>
      <c r="D32" s="15" t="s">
        <v>45</v>
      </c>
    </row>
    <row r="33" spans="1:4" ht="15.75" customHeight="1">
      <c r="A33" s="2" t="s">
        <v>46</v>
      </c>
      <c r="B33" s="14">
        <v>2</v>
      </c>
      <c r="C33" s="14">
        <v>2</v>
      </c>
      <c r="D33" s="15">
        <v>3</v>
      </c>
    </row>
    <row r="34" spans="1:4" ht="15.75" customHeight="1">
      <c r="A34" s="2" t="s">
        <v>47</v>
      </c>
      <c r="B34" s="14">
        <v>2</v>
      </c>
      <c r="C34" s="14">
        <v>1</v>
      </c>
      <c r="D34" s="15">
        <v>2</v>
      </c>
    </row>
    <row r="35" spans="1:4" ht="15.75" customHeight="1">
      <c r="A35" s="47" t="s">
        <v>48</v>
      </c>
      <c r="B35" s="48">
        <v>2</v>
      </c>
      <c r="C35" s="48">
        <v>1</v>
      </c>
      <c r="D35" s="58">
        <v>1</v>
      </c>
    </row>
  </sheetData>
  <mergeCells count="4">
    <mergeCell ref="A1:D1"/>
    <mergeCell ref="A9:D9"/>
    <mergeCell ref="A19:D19"/>
    <mergeCell ref="A31:D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29"/>
  <sheetViews>
    <sheetView workbookViewId="0"/>
  </sheetViews>
  <sheetFormatPr baseColWidth="10" defaultColWidth="14.42578125" defaultRowHeight="15.75" customHeight="1"/>
  <cols>
    <col min="1" max="1" width="26.42578125" customWidth="1"/>
    <col min="3" max="3" width="17.42578125" customWidth="1"/>
    <col min="6" max="6" width="18.42578125" customWidth="1"/>
    <col min="8" max="8" width="11.42578125" customWidth="1"/>
    <col min="9" max="9" width="10.7109375" customWidth="1"/>
    <col min="10" max="11" width="16.85546875" customWidth="1"/>
    <col min="12" max="12" width="13.140625" customWidth="1"/>
    <col min="13" max="13" width="13.7109375" customWidth="1"/>
    <col min="14" max="14" width="11.28515625" customWidth="1"/>
    <col min="15" max="15" width="16.7109375" customWidth="1"/>
    <col min="16" max="17" width="16.28515625" customWidth="1"/>
    <col min="18" max="18" width="4.7109375" customWidth="1"/>
    <col min="19" max="19" width="19.140625" customWidth="1"/>
    <col min="20" max="20" width="7.140625" customWidth="1"/>
    <col min="21" max="21" width="17.42578125" customWidth="1"/>
    <col min="22" max="22" width="15.7109375" customWidth="1"/>
  </cols>
  <sheetData>
    <row r="1" spans="1:24" ht="15.75" customHeight="1">
      <c r="A1" s="138" t="s">
        <v>0</v>
      </c>
      <c r="B1" s="139"/>
      <c r="C1" s="139"/>
      <c r="D1" s="140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ht="15.75" customHeight="1">
      <c r="A2" s="2" t="s">
        <v>20</v>
      </c>
      <c r="B2" s="3"/>
      <c r="D2" s="4"/>
      <c r="F2" s="5"/>
      <c r="G2" s="6" t="s">
        <v>161</v>
      </c>
      <c r="H2" s="7"/>
      <c r="I2" s="8"/>
      <c r="J2" s="6"/>
      <c r="K2" s="6"/>
      <c r="L2" s="6"/>
      <c r="M2" s="9"/>
      <c r="N2" s="6"/>
      <c r="O2" s="6"/>
      <c r="P2" s="6"/>
      <c r="Q2" s="6"/>
      <c r="R2" s="10"/>
      <c r="S2" s="6"/>
      <c r="T2" s="11"/>
      <c r="U2" s="6"/>
      <c r="V2" s="12"/>
      <c r="W2" s="12"/>
      <c r="X2" s="13"/>
    </row>
    <row r="3" spans="1:24" ht="15.75" customHeight="1">
      <c r="A3" s="2" t="s">
        <v>21</v>
      </c>
      <c r="C3" s="14" t="s">
        <v>22</v>
      </c>
      <c r="D3" s="15"/>
      <c r="F3" s="16"/>
      <c r="G3" s="17" t="s">
        <v>162</v>
      </c>
      <c r="H3" s="18"/>
      <c r="I3" s="19"/>
      <c r="J3" s="17"/>
      <c r="K3" s="17"/>
      <c r="L3" s="17"/>
      <c r="M3" s="17"/>
      <c r="N3" s="17"/>
      <c r="O3" s="17"/>
      <c r="P3" s="17"/>
      <c r="Q3" s="20"/>
      <c r="R3" s="17"/>
      <c r="S3" s="17"/>
      <c r="T3" s="21"/>
      <c r="U3" s="17"/>
      <c r="V3" s="21"/>
      <c r="W3" s="21"/>
      <c r="X3" s="22"/>
    </row>
    <row r="4" spans="1:24" ht="15.75" customHeight="1">
      <c r="A4" s="2" t="s">
        <v>23</v>
      </c>
      <c r="D4" s="4"/>
      <c r="F4" s="23"/>
      <c r="G4" s="17" t="s">
        <v>163</v>
      </c>
      <c r="H4" s="24"/>
      <c r="I4" s="19"/>
      <c r="J4" s="17"/>
      <c r="K4" s="17"/>
      <c r="L4" s="17"/>
      <c r="M4" s="25"/>
      <c r="N4" s="17"/>
      <c r="O4" s="17"/>
      <c r="P4" s="17"/>
      <c r="Q4" s="17"/>
      <c r="R4" s="17"/>
      <c r="S4" s="17"/>
      <c r="T4" s="21"/>
      <c r="U4" s="17"/>
      <c r="V4" s="21"/>
      <c r="W4" s="21"/>
      <c r="X4" s="22"/>
    </row>
    <row r="5" spans="1:24" ht="15.75" customHeight="1">
      <c r="A5" s="2" t="s">
        <v>24</v>
      </c>
      <c r="B5" t="e">
        <f>(D3/B2)*100</f>
        <v>#DIV/0!</v>
      </c>
      <c r="C5" t="e">
        <f>(B4/B2)*100</f>
        <v>#DIV/0!</v>
      </c>
      <c r="D5" s="4" t="e">
        <f>100-B5-C5</f>
        <v>#DIV/0!</v>
      </c>
      <c r="F5" s="16"/>
      <c r="G5" s="17" t="s">
        <v>164</v>
      </c>
      <c r="H5" s="24"/>
      <c r="I5" s="19"/>
      <c r="J5" s="20"/>
      <c r="K5" s="20"/>
      <c r="L5" s="20"/>
      <c r="M5" s="25"/>
      <c r="N5" s="17"/>
      <c r="O5" s="17"/>
      <c r="P5" s="17"/>
      <c r="Q5" s="20"/>
      <c r="R5" s="17"/>
      <c r="S5" s="17"/>
      <c r="T5" s="21"/>
      <c r="U5" s="17"/>
      <c r="V5" s="21"/>
      <c r="W5" s="21"/>
      <c r="X5" s="22"/>
    </row>
    <row r="6" spans="1:24" ht="15.75" customHeight="1">
      <c r="A6" s="26" t="s">
        <v>25</v>
      </c>
      <c r="B6" s="27"/>
      <c r="C6" s="28" t="s">
        <v>26</v>
      </c>
      <c r="D6" s="27"/>
      <c r="F6" s="23"/>
      <c r="G6" s="17" t="s">
        <v>165</v>
      </c>
      <c r="H6" s="24"/>
      <c r="I6" s="19"/>
      <c r="J6" s="20"/>
      <c r="K6" s="20"/>
      <c r="L6" s="17"/>
      <c r="M6" s="17"/>
      <c r="N6" s="17"/>
      <c r="O6" s="17"/>
      <c r="P6" s="29"/>
      <c r="Q6" s="17"/>
      <c r="R6" s="17"/>
      <c r="S6" s="17"/>
      <c r="T6" s="30"/>
      <c r="U6" s="17"/>
      <c r="V6" s="21"/>
      <c r="W6" s="21"/>
      <c r="X6" s="22"/>
    </row>
    <row r="7" spans="1:24" ht="15.75" customHeight="1">
      <c r="F7" s="23"/>
      <c r="G7" s="17" t="s">
        <v>166</v>
      </c>
      <c r="H7" s="24"/>
      <c r="I7" s="19"/>
      <c r="J7" s="17"/>
      <c r="K7" s="17"/>
      <c r="L7" s="17"/>
      <c r="M7" s="17"/>
      <c r="N7" s="17"/>
      <c r="O7" s="29"/>
      <c r="P7" s="29"/>
      <c r="Q7" s="20"/>
      <c r="R7" s="17"/>
      <c r="S7" s="17"/>
      <c r="T7" s="21"/>
      <c r="U7" s="17"/>
      <c r="V7" s="21"/>
      <c r="W7" s="21"/>
      <c r="X7" s="22"/>
    </row>
    <row r="8" spans="1:24" ht="15.75" customHeight="1">
      <c r="F8" s="23"/>
      <c r="G8" s="17" t="s">
        <v>167</v>
      </c>
      <c r="H8" s="24"/>
      <c r="I8" s="19"/>
      <c r="J8" s="17"/>
      <c r="K8" s="17"/>
      <c r="L8" s="17"/>
      <c r="M8" s="20"/>
      <c r="N8" s="17"/>
      <c r="O8" s="29"/>
      <c r="P8" s="29"/>
      <c r="Q8" s="17"/>
      <c r="R8" s="17"/>
      <c r="S8" s="17"/>
      <c r="T8" s="21"/>
      <c r="U8" s="17"/>
      <c r="V8" s="21"/>
      <c r="W8" s="21"/>
      <c r="X8" s="22"/>
    </row>
    <row r="9" spans="1:24" ht="15.75" customHeight="1">
      <c r="A9" s="138" t="s">
        <v>27</v>
      </c>
      <c r="B9" s="139"/>
      <c r="C9" s="139"/>
      <c r="D9" s="140"/>
      <c r="F9" s="23"/>
      <c r="G9" s="17" t="s">
        <v>168</v>
      </c>
      <c r="H9" s="24"/>
      <c r="I9" s="19"/>
      <c r="J9" s="17"/>
      <c r="K9" s="17"/>
      <c r="L9" s="17"/>
      <c r="M9" s="20"/>
      <c r="N9" s="17"/>
      <c r="O9" s="29"/>
      <c r="P9" s="29"/>
      <c r="Q9" s="20"/>
      <c r="R9" s="31"/>
      <c r="S9" s="17"/>
      <c r="T9" s="21"/>
      <c r="U9" s="17"/>
      <c r="V9" s="21"/>
      <c r="W9" s="21"/>
      <c r="X9" s="22"/>
    </row>
    <row r="10" spans="1:24" ht="15.75" customHeight="1">
      <c r="A10" s="2" t="s">
        <v>10</v>
      </c>
      <c r="D10" s="15"/>
      <c r="F10" s="23"/>
      <c r="G10" s="17" t="s">
        <v>169</v>
      </c>
      <c r="H10" s="24"/>
      <c r="I10" s="19"/>
      <c r="J10" s="17"/>
      <c r="K10" s="17"/>
      <c r="L10" s="17"/>
      <c r="M10" s="32"/>
      <c r="N10" s="17"/>
      <c r="O10" s="17"/>
      <c r="P10" s="17"/>
      <c r="Q10" s="17"/>
      <c r="R10" s="17"/>
      <c r="S10" s="17"/>
      <c r="T10" s="21"/>
      <c r="U10" s="17"/>
      <c r="V10" s="21"/>
      <c r="W10" s="21"/>
      <c r="X10" s="22"/>
    </row>
    <row r="11" spans="1:24" ht="15.75" customHeight="1">
      <c r="A11" s="2" t="s">
        <v>11</v>
      </c>
      <c r="D11" s="15"/>
      <c r="F11" s="23"/>
      <c r="G11" s="17" t="s">
        <v>170</v>
      </c>
      <c r="H11" s="24"/>
      <c r="I11" s="19"/>
      <c r="J11" s="17"/>
      <c r="K11" s="17"/>
      <c r="L11" s="17"/>
      <c r="M11" s="25"/>
      <c r="N11" s="17"/>
      <c r="O11" s="29"/>
      <c r="P11" s="17"/>
      <c r="Q11" s="17"/>
      <c r="R11" s="17"/>
      <c r="S11" s="17"/>
      <c r="T11" s="21"/>
      <c r="U11" s="17"/>
      <c r="V11" s="21"/>
      <c r="W11" s="21"/>
      <c r="X11" s="22"/>
    </row>
    <row r="12" spans="1:24" ht="15.75" customHeight="1">
      <c r="A12" s="2" t="s">
        <v>13</v>
      </c>
      <c r="D12" s="4"/>
      <c r="F12" s="33"/>
      <c r="G12" s="17" t="s">
        <v>171</v>
      </c>
      <c r="H12" s="34"/>
      <c r="I12" s="35"/>
      <c r="J12" s="36"/>
      <c r="K12" s="36"/>
      <c r="L12" s="36"/>
      <c r="M12" s="37"/>
      <c r="N12" s="36"/>
      <c r="O12" s="36"/>
      <c r="P12" s="36"/>
      <c r="Q12" s="36"/>
      <c r="R12" s="36"/>
      <c r="S12" s="36"/>
      <c r="T12" s="38"/>
      <c r="U12" s="36"/>
      <c r="V12" s="38"/>
      <c r="W12" s="38"/>
      <c r="X12" s="39"/>
    </row>
    <row r="13" spans="1:24" ht="15.75" customHeight="1">
      <c r="A13" s="2" t="s">
        <v>28</v>
      </c>
      <c r="B13" s="14" t="s">
        <v>29</v>
      </c>
      <c r="D13" s="4"/>
      <c r="F13" s="40"/>
      <c r="G13" s="41"/>
      <c r="H13" s="42"/>
      <c r="I13" s="43"/>
      <c r="J13" s="41"/>
      <c r="K13" s="17"/>
      <c r="L13" s="17"/>
      <c r="M13" s="25"/>
      <c r="N13" s="17"/>
      <c r="O13" s="17"/>
      <c r="P13" s="17"/>
      <c r="Q13" s="44"/>
      <c r="R13" s="17"/>
      <c r="S13" s="17"/>
      <c r="T13" s="21"/>
      <c r="U13" s="17"/>
      <c r="V13" s="45"/>
      <c r="W13" s="45"/>
      <c r="X13" s="46"/>
    </row>
    <row r="14" spans="1:24" ht="15.75" customHeight="1">
      <c r="A14" s="2" t="s">
        <v>30</v>
      </c>
      <c r="B14" s="14" t="s">
        <v>29</v>
      </c>
      <c r="D14" s="4"/>
      <c r="F14" s="16"/>
      <c r="G14" s="17"/>
      <c r="H14" s="24"/>
      <c r="I14" s="19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1"/>
      <c r="U14" s="17"/>
      <c r="V14" s="21"/>
      <c r="W14" s="21"/>
      <c r="X14" s="22"/>
    </row>
    <row r="15" spans="1:24" ht="15.75" customHeight="1">
      <c r="A15" s="47" t="s">
        <v>31</v>
      </c>
      <c r="B15" s="48"/>
      <c r="C15" s="49"/>
      <c r="D15" s="50"/>
      <c r="F15" s="16"/>
      <c r="G15" s="17"/>
      <c r="H15" s="51"/>
      <c r="I15" s="51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52"/>
      <c r="U15" s="25"/>
      <c r="V15" s="52"/>
      <c r="W15" s="52"/>
      <c r="X15" s="53"/>
    </row>
    <row r="16" spans="1:24" ht="15.75" customHeight="1">
      <c r="F16" s="16"/>
      <c r="G16" s="17"/>
      <c r="H16" s="51"/>
      <c r="I16" s="51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52"/>
      <c r="U16" s="25"/>
      <c r="V16" s="52"/>
      <c r="W16" s="52"/>
      <c r="X16" s="53"/>
    </row>
    <row r="17" spans="1:24" ht="15.75" customHeight="1">
      <c r="A17" s="138" t="s">
        <v>32</v>
      </c>
      <c r="B17" s="139"/>
      <c r="C17" s="139"/>
      <c r="D17" s="140"/>
      <c r="F17" s="33"/>
      <c r="G17" s="36"/>
      <c r="H17" s="54"/>
      <c r="I17" s="54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55"/>
      <c r="U17" s="37"/>
      <c r="V17" s="55"/>
      <c r="W17" s="55"/>
      <c r="X17" s="56"/>
    </row>
    <row r="18" spans="1:24" ht="15.75" customHeight="1">
      <c r="A18" s="2" t="s">
        <v>33</v>
      </c>
      <c r="D18" s="15"/>
    </row>
    <row r="19" spans="1:24" ht="15.75" customHeight="1">
      <c r="A19" s="2" t="s">
        <v>87</v>
      </c>
      <c r="D19" s="57"/>
    </row>
    <row r="20" spans="1:24" ht="15.75" customHeight="1">
      <c r="A20" s="2" t="s">
        <v>36</v>
      </c>
      <c r="D20" s="4"/>
    </row>
    <row r="21" spans="1:24" ht="15.75" customHeight="1">
      <c r="A21" s="2" t="s">
        <v>99</v>
      </c>
      <c r="D21" s="15"/>
    </row>
    <row r="22" spans="1:24" ht="15.75" customHeight="1">
      <c r="A22" s="2" t="s">
        <v>39</v>
      </c>
      <c r="D22" s="4"/>
    </row>
    <row r="23" spans="1:24" ht="15.75" customHeight="1">
      <c r="A23" s="47" t="s">
        <v>40</v>
      </c>
      <c r="B23" s="48"/>
      <c r="C23" s="48"/>
      <c r="D23" s="50"/>
    </row>
    <row r="25" spans="1:24" ht="15.75" customHeight="1">
      <c r="A25" s="138" t="s">
        <v>41</v>
      </c>
      <c r="B25" s="139"/>
      <c r="C25" s="139"/>
      <c r="D25" s="140"/>
    </row>
    <row r="26" spans="1:24" ht="15.75" customHeight="1">
      <c r="A26" s="2" t="s">
        <v>42</v>
      </c>
      <c r="B26" s="14" t="s">
        <v>43</v>
      </c>
      <c r="C26" s="14" t="s">
        <v>44</v>
      </c>
      <c r="D26" s="15" t="s">
        <v>45</v>
      </c>
    </row>
    <row r="27" spans="1:24" ht="15.75" customHeight="1">
      <c r="A27" s="2" t="s">
        <v>46</v>
      </c>
      <c r="B27" s="14">
        <v>2</v>
      </c>
      <c r="C27" s="14">
        <v>2</v>
      </c>
      <c r="D27" s="15">
        <v>3</v>
      </c>
    </row>
    <row r="28" spans="1:24" ht="15.75" customHeight="1">
      <c r="A28" s="2" t="s">
        <v>47</v>
      </c>
      <c r="B28" s="14">
        <v>2</v>
      </c>
      <c r="C28" s="14">
        <v>1</v>
      </c>
      <c r="D28" s="15">
        <v>2</v>
      </c>
    </row>
    <row r="29" spans="1:24" ht="15.75" customHeight="1">
      <c r="A29" s="47" t="s">
        <v>48</v>
      </c>
      <c r="B29" s="48">
        <v>2</v>
      </c>
      <c r="C29" s="48">
        <v>1</v>
      </c>
      <c r="D29" s="58">
        <v>1</v>
      </c>
    </row>
  </sheetData>
  <mergeCells count="4">
    <mergeCell ref="A1:D1"/>
    <mergeCell ref="A9:D9"/>
    <mergeCell ref="A17:D17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LAB-LO(02)</vt:lpstr>
      <vt:lpstr>LAB-LO(03)</vt:lpstr>
      <vt:lpstr>LAB-MA(04)</vt:lpstr>
      <vt:lpstr>LAB-MA(05)</vt:lpstr>
      <vt:lpstr>LAB-SR(06)</vt:lpstr>
      <vt:lpstr>LAB-VA(07)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2020-05-07T21:24:37Z</dcterms:modified>
</cp:coreProperties>
</file>