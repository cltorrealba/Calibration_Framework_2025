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\Magister- Escritorio\Datos Cinética 2020\Datos Autobin 2020\"/>
    </mc:Choice>
  </mc:AlternateContent>
  <xr:revisionPtr revIDLastSave="0" documentId="13_ncr:1_{C5CDD860-FB8F-4B70-AF08-DCBE3866FC39}" xr6:coauthVersionLast="47" xr6:coauthVersionMax="47" xr10:uidLastSave="{00000000-0000-0000-0000-000000000000}"/>
  <bookViews>
    <workbookView xWindow="2985" yWindow="2985" windowWidth="21600" windowHeight="11385" activeTab="5" xr2:uid="{00000000-000D-0000-FFFF-FFFF00000000}"/>
  </bookViews>
  <sheets>
    <sheet name="PIL-CALIB(01)" sheetId="5" r:id="rId1"/>
    <sheet name="PIL-CALIB(02)" sheetId="1" r:id="rId2"/>
    <sheet name="PIL-CALIB(03)" sheetId="2" r:id="rId3"/>
    <sheet name="PIL-CALIB(04)" sheetId="3" r:id="rId4"/>
    <sheet name="PIL-VALID(01)" sheetId="4" r:id="rId5"/>
    <sheet name="PIL-VALID(02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E4" i="8" s="1"/>
  <c r="E5" i="8" s="1"/>
  <c r="E6" i="8" s="1"/>
  <c r="E7" i="8" s="1"/>
  <c r="E8" i="8" s="1"/>
  <c r="E3" i="5" l="1"/>
  <c r="E4" i="5" s="1"/>
  <c r="E5" i="5" s="1"/>
  <c r="E6" i="5" s="1"/>
  <c r="E7" i="5" s="1"/>
  <c r="E8" i="5" s="1"/>
  <c r="E9" i="5" s="1"/>
  <c r="E10" i="5" s="1"/>
  <c r="E3" i="4"/>
  <c r="E4" i="4" s="1"/>
  <c r="E5" i="4" s="1"/>
  <c r="E6" i="4" s="1"/>
  <c r="E7" i="4" s="1"/>
  <c r="E8" i="4" s="1"/>
  <c r="E9" i="4" s="1"/>
  <c r="E10" i="4" s="1"/>
  <c r="E3" i="3"/>
  <c r="E4" i="3" s="1"/>
  <c r="E5" i="3" s="1"/>
  <c r="E6" i="3" s="1"/>
  <c r="E7" i="3" s="1"/>
  <c r="E8" i="3" s="1"/>
  <c r="E9" i="3" s="1"/>
  <c r="E10" i="3" s="1"/>
  <c r="E3" i="2"/>
  <c r="E4" i="2" s="1"/>
  <c r="E5" i="2" s="1"/>
  <c r="E3" i="1"/>
  <c r="E4" i="1" s="1"/>
  <c r="E5" i="1" s="1"/>
  <c r="E6" i="1" s="1"/>
  <c r="E7" i="1" s="1"/>
  <c r="E8" i="1" s="1"/>
  <c r="E9" i="1" s="1"/>
  <c r="E10" i="1" s="1"/>
  <c r="E6" i="2" l="1"/>
  <c r="E7" i="2" s="1"/>
  <c r="E8" i="2" l="1"/>
  <c r="E9" i="2" s="1"/>
  <c r="E10" i="2" s="1"/>
</calcChain>
</file>

<file path=xl/sharedStrings.xml><?xml version="1.0" encoding="utf-8"?>
<sst xmlns="http://schemas.openxmlformats.org/spreadsheetml/2006/main" count="204" uniqueCount="84">
  <si>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</si>
  <si>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</si>
  <si>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</si>
  <si>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</si>
  <si>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</si>
  <si>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</si>
  <si>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</si>
  <si>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</si>
  <si>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</si>
  <si>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</si>
  <si>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Densidad Manual</t>
  </si>
  <si>
    <t>Brix</t>
  </si>
  <si>
    <t>Temperatura (°C)</t>
  </si>
  <si>
    <t>pH</t>
  </si>
  <si>
    <t>Antocianinas (mg/L)</t>
  </si>
  <si>
    <t>Polifenoles (mg/L)</t>
  </si>
  <si>
    <t>Inoculo</t>
  </si>
  <si>
    <t>CII-LO(07)-0</t>
  </si>
  <si>
    <t>CII-MA(09)-0</t>
  </si>
  <si>
    <t>Inóculo Corregido</t>
  </si>
  <si>
    <t>CII-LO(08)-0</t>
  </si>
  <si>
    <t>1090-1080</t>
  </si>
  <si>
    <t>CII-LO(07)-1</t>
  </si>
  <si>
    <t>CII-MA(09)-1</t>
  </si>
  <si>
    <t>1090-1080 Corregido</t>
  </si>
  <si>
    <t>CII-LO(08)-1</t>
  </si>
  <si>
    <t>-</t>
  </si>
  <si>
    <t>1080-1070</t>
  </si>
  <si>
    <t>CII-LO(07)-2</t>
  </si>
  <si>
    <t>CII-LO(08)-2</t>
  </si>
  <si>
    <t>CII-MA(09)-2</t>
  </si>
  <si>
    <t>1070-1060</t>
  </si>
  <si>
    <t>CII-LO(08)-3</t>
  </si>
  <si>
    <t>CII-LO(07)-3</t>
  </si>
  <si>
    <t>CII-MA(09)-3</t>
  </si>
  <si>
    <t>2h Post FDA</t>
  </si>
  <si>
    <t>CII-LO(08)-4</t>
  </si>
  <si>
    <t>1060-1050</t>
  </si>
  <si>
    <t>CII-LO(08)-5</t>
  </si>
  <si>
    <t>CII-MA(09)-4</t>
  </si>
  <si>
    <t>CII-LO(07)-4</t>
  </si>
  <si>
    <t>1050-1030</t>
  </si>
  <si>
    <t>CII-LO(08)-6</t>
  </si>
  <si>
    <t>CII-MA(09)-5</t>
  </si>
  <si>
    <t>1030-1010</t>
  </si>
  <si>
    <t>CII-LO(08)-7</t>
  </si>
  <si>
    <t>CII-MA(09)-6</t>
  </si>
  <si>
    <t>CII-LO(07)-5</t>
  </si>
  <si>
    <t>CII-MA(09)-7</t>
  </si>
  <si>
    <t>FIN FA</t>
  </si>
  <si>
    <t>CII-LO(07)-6</t>
  </si>
  <si>
    <t>CII-LO(08)-8</t>
  </si>
  <si>
    <t xml:space="preserve">FIN FA.                Horario sacado de base de datos SM   </t>
  </si>
  <si>
    <t>CII-LO(07)-7</t>
  </si>
  <si>
    <t>CII-MA(09)-8</t>
  </si>
  <si>
    <t>CII-LO(07)-8</t>
  </si>
  <si>
    <t>CII-MA(12)-0</t>
  </si>
  <si>
    <t>CII-MA(12)-1</t>
  </si>
  <si>
    <t>CII-MA(12)-2</t>
  </si>
  <si>
    <t>CII-MA(12)-3</t>
  </si>
  <si>
    <t>CII-MA(12)-4</t>
  </si>
  <si>
    <t>CII-MA(12)-5</t>
  </si>
  <si>
    <t>CII-MA(12)-6</t>
  </si>
  <si>
    <t>CII-MA(12)-7</t>
  </si>
  <si>
    <t>CII-MA(12)-8</t>
  </si>
  <si>
    <t>Inoculo. Sin medición densidad laboratorio.</t>
  </si>
  <si>
    <t>CII-SR(15)-0</t>
  </si>
  <si>
    <t>N/A</t>
  </si>
  <si>
    <t>CII-SR(15)-1</t>
  </si>
  <si>
    <t>CII-SR(15)-2</t>
  </si>
  <si>
    <t>CII-SR(15)-3</t>
  </si>
  <si>
    <t>CII-SR(15)-4</t>
  </si>
  <si>
    <t>CII-SR(15)-5</t>
  </si>
  <si>
    <t>CII-SR(15)-6</t>
  </si>
  <si>
    <t>CII-SR(15)-7</t>
  </si>
  <si>
    <t>CII-SR(15)-8</t>
  </si>
  <si>
    <t>CII-LO(27)-0</t>
  </si>
  <si>
    <t>CII-LO(27)-1</t>
  </si>
  <si>
    <t>CII-LO(27)-2</t>
  </si>
  <si>
    <t>CII-LO(27)-3</t>
  </si>
  <si>
    <t>CII-LO(27)-4</t>
  </si>
  <si>
    <t>CII-LO(27)-5</t>
  </si>
  <si>
    <t>CII-LO(27)-6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</si>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</sst>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\-m\-yyyy"/>
    <numFmt numFmtId="166" formatCode="0.000"/>
    <numFmt numFmtId="167" formatCode="0.0000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65" fontId="2" fillId="3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/>
    </xf>
    <xf numFmtId="20" fontId="2" fillId="3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" fontId="2" fillId="0" borderId="0" xfId="0" applyNumberFormat="1" applyFont="1"/>
    <xf numFmtId="1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2" fillId="5" borderId="8" xfId="0" applyFont="1" applyFill="1" applyBorder="1" applyAlignment="1">
      <alignment horizontal="center"/>
    </xf>
    <xf numFmtId="165" fontId="2" fillId="5" borderId="8" xfId="0" applyNumberFormat="1" applyFont="1" applyFill="1" applyBorder="1" applyAlignment="1">
      <alignment horizontal="center"/>
    </xf>
    <xf numFmtId="20" fontId="2" fillId="5" borderId="8" xfId="0" applyNumberFormat="1" applyFont="1" applyFill="1" applyBorder="1" applyAlignment="1">
      <alignment horizontal="center"/>
    </xf>
    <xf numFmtId="2" fontId="2" fillId="5" borderId="8" xfId="0" applyNumberFormat="1" applyFont="1" applyFill="1" applyBorder="1" applyAlignment="1">
      <alignment horizontal="center"/>
    </xf>
    <xf numFmtId="164" fontId="2" fillId="5" borderId="8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5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67" fontId="2" fillId="0" borderId="0" xfId="0" applyNumberFormat="1" applyFont="1"/>
    <xf numFmtId="0" fontId="2" fillId="6" borderId="18" xfId="0" applyFont="1" applyFill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'PIL-CALIB(01)'!$E$2:$E$10</c:f>
              <c:numCache>
                <c:formatCode>0</c:formatCode>
                <c:ptCount val="9"/>
                <c:pt idx="0">
                  <c:v>0</c:v>
                </c:pt>
                <c:pt idx="1">
                  <c:v>745</c:v>
                </c:pt>
                <c:pt idx="2">
                  <c:v>1875</c:v>
                </c:pt>
                <c:pt idx="3">
                  <c:v>2705</c:v>
                </c:pt>
                <c:pt idx="4">
                  <c:v>2940</c:v>
                </c:pt>
                <c:pt idx="5">
                  <c:v>3090</c:v>
                </c:pt>
                <c:pt idx="6">
                  <c:v>3330</c:v>
                </c:pt>
                <c:pt idx="7">
                  <c:v>4522</c:v>
                </c:pt>
                <c:pt idx="8">
                  <c:v>7500</c:v>
                </c:pt>
              </c:numCache>
            </c:numRef>
          </c:xVal>
          <c:yVal>
            <c:numRef>
              <c:f>'PIL-CALIB(01)'!$I$2:$I$10</c:f>
              <c:numCache>
                <c:formatCode>General</c:formatCode>
                <c:ptCount val="9"/>
                <c:pt idx="0">
                  <c:v>189</c:v>
                </c:pt>
                <c:pt idx="1">
                  <c:v>144</c:v>
                </c:pt>
                <c:pt idx="2">
                  <c:v>51</c:v>
                </c:pt>
                <c:pt idx="3">
                  <c:v>54</c:v>
                </c:pt>
                <c:pt idx="4">
                  <c:v>130</c:v>
                </c:pt>
                <c:pt idx="5">
                  <c:v>69</c:v>
                </c:pt>
                <c:pt idx="6">
                  <c:v>59</c:v>
                </c:pt>
                <c:pt idx="7">
                  <c:v>60</c:v>
                </c:pt>
                <c:pt idx="8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E7-426E-A22B-B9B1C65A5F1B}"/>
            </c:ext>
          </c:extLst>
        </c:ser>
        <c:ser>
          <c:idx val="1"/>
          <c:order val="1"/>
          <c:tx>
            <c:v>Sugar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'PIL-CALIB(01)'!$E$2:$E$10</c:f>
              <c:numCache>
                <c:formatCode>0</c:formatCode>
                <c:ptCount val="9"/>
                <c:pt idx="0">
                  <c:v>0</c:v>
                </c:pt>
                <c:pt idx="1">
                  <c:v>745</c:v>
                </c:pt>
                <c:pt idx="2">
                  <c:v>1875</c:v>
                </c:pt>
                <c:pt idx="3">
                  <c:v>2705</c:v>
                </c:pt>
                <c:pt idx="4">
                  <c:v>2940</c:v>
                </c:pt>
                <c:pt idx="5">
                  <c:v>3090</c:v>
                </c:pt>
                <c:pt idx="6">
                  <c:v>3330</c:v>
                </c:pt>
                <c:pt idx="7">
                  <c:v>4522</c:v>
                </c:pt>
                <c:pt idx="8">
                  <c:v>7500</c:v>
                </c:pt>
              </c:numCache>
            </c:numRef>
          </c:xVal>
          <c:yVal>
            <c:numRef>
              <c:f>'PIL-CALIB(01)'!$F$2:$F$10</c:f>
              <c:numCache>
                <c:formatCode>General</c:formatCode>
                <c:ptCount val="9"/>
                <c:pt idx="0">
                  <c:v>210.46</c:v>
                </c:pt>
                <c:pt idx="1">
                  <c:v>165.35</c:v>
                </c:pt>
                <c:pt idx="2">
                  <c:v>148.30000000000001</c:v>
                </c:pt>
                <c:pt idx="3" formatCode="0.00">
                  <c:v>138.47</c:v>
                </c:pt>
                <c:pt idx="4" formatCode="0.00">
                  <c:v>130.05000000000001</c:v>
                </c:pt>
                <c:pt idx="5">
                  <c:v>109.29</c:v>
                </c:pt>
                <c:pt idx="6">
                  <c:v>107.76</c:v>
                </c:pt>
                <c:pt idx="7">
                  <c:v>57.11</c:v>
                </c:pt>
                <c:pt idx="8">
                  <c:v>1.19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E7-426E-A22B-B9B1C65A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31448"/>
        <c:axId val="583231120"/>
      </c:scatterChart>
      <c:valAx>
        <c:axId val="58323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31120"/>
        <c:crosses val="autoZero"/>
        <c:crossBetween val="midCat"/>
      </c:valAx>
      <c:valAx>
        <c:axId val="5832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3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'PIL-CALIB(02)'!$E$2:$E$10</c:f>
              <c:numCache>
                <c:formatCode>0</c:formatCode>
                <c:ptCount val="9"/>
                <c:pt idx="0">
                  <c:v>0</c:v>
                </c:pt>
                <c:pt idx="1">
                  <c:v>910</c:v>
                </c:pt>
                <c:pt idx="2">
                  <c:v>2638</c:v>
                </c:pt>
                <c:pt idx="3">
                  <c:v>3312</c:v>
                </c:pt>
                <c:pt idx="4">
                  <c:v>3565</c:v>
                </c:pt>
                <c:pt idx="5">
                  <c:v>4058</c:v>
                </c:pt>
                <c:pt idx="6">
                  <c:v>4400</c:v>
                </c:pt>
                <c:pt idx="7">
                  <c:v>6152</c:v>
                </c:pt>
                <c:pt idx="8">
                  <c:v>7295</c:v>
                </c:pt>
              </c:numCache>
            </c:numRef>
          </c:xVal>
          <c:yVal>
            <c:numRef>
              <c:f>'PIL-CALIB(02)'!$F$2:$F$10</c:f>
              <c:numCache>
                <c:formatCode>General</c:formatCode>
                <c:ptCount val="9"/>
                <c:pt idx="0">
                  <c:v>206.37</c:v>
                </c:pt>
                <c:pt idx="1">
                  <c:v>176.99</c:v>
                </c:pt>
                <c:pt idx="2">
                  <c:v>173.17</c:v>
                </c:pt>
                <c:pt idx="3" formatCode="0.00">
                  <c:v>151.18</c:v>
                </c:pt>
                <c:pt idx="4" formatCode="0.00">
                  <c:v>137.52000000000001</c:v>
                </c:pt>
                <c:pt idx="5">
                  <c:v>106.42</c:v>
                </c:pt>
                <c:pt idx="6">
                  <c:v>100.1</c:v>
                </c:pt>
                <c:pt idx="7">
                  <c:v>45.86</c:v>
                </c:pt>
                <c:pt idx="8">
                  <c:v>19.39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19-4673-99D2-8445952D861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'PIL-CALIB(02)'!$E$2:$E$10</c:f>
              <c:numCache>
                <c:formatCode>0</c:formatCode>
                <c:ptCount val="9"/>
                <c:pt idx="0">
                  <c:v>0</c:v>
                </c:pt>
                <c:pt idx="1">
                  <c:v>910</c:v>
                </c:pt>
                <c:pt idx="2">
                  <c:v>2638</c:v>
                </c:pt>
                <c:pt idx="3">
                  <c:v>3312</c:v>
                </c:pt>
                <c:pt idx="4">
                  <c:v>3565</c:v>
                </c:pt>
                <c:pt idx="5">
                  <c:v>4058</c:v>
                </c:pt>
                <c:pt idx="6">
                  <c:v>4400</c:v>
                </c:pt>
                <c:pt idx="7">
                  <c:v>6152</c:v>
                </c:pt>
                <c:pt idx="8">
                  <c:v>7295</c:v>
                </c:pt>
              </c:numCache>
            </c:numRef>
          </c:xVal>
          <c:yVal>
            <c:numRef>
              <c:f>'PIL-CALIB(02)'!$I$2:$I$10</c:f>
              <c:numCache>
                <c:formatCode>General</c:formatCode>
                <c:ptCount val="9"/>
                <c:pt idx="0">
                  <c:v>265</c:v>
                </c:pt>
                <c:pt idx="1">
                  <c:v>63</c:v>
                </c:pt>
                <c:pt idx="2">
                  <c:v>55</c:v>
                </c:pt>
                <c:pt idx="3">
                  <c:v>47</c:v>
                </c:pt>
                <c:pt idx="4">
                  <c:v>117</c:v>
                </c:pt>
                <c:pt idx="5">
                  <c:v>30</c:v>
                </c:pt>
                <c:pt idx="6">
                  <c:v>54</c:v>
                </c:pt>
                <c:pt idx="7">
                  <c:v>54</c:v>
                </c:pt>
                <c:pt idx="8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19-4673-99D2-8445952D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97264"/>
        <c:axId val="576798248"/>
      </c:scatterChart>
      <c:valAx>
        <c:axId val="57679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98248"/>
        <c:crosses val="autoZero"/>
        <c:crossBetween val="midCat"/>
      </c:valAx>
      <c:valAx>
        <c:axId val="57679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'PIL-CALIB(03)'!$E$2:$E$10</c:f>
              <c:numCache>
                <c:formatCode>0</c:formatCode>
                <c:ptCount val="9"/>
                <c:pt idx="0">
                  <c:v>0</c:v>
                </c:pt>
                <c:pt idx="1">
                  <c:v>386</c:v>
                </c:pt>
                <c:pt idx="2">
                  <c:v>1510</c:v>
                </c:pt>
                <c:pt idx="3">
                  <c:v>2127</c:v>
                </c:pt>
                <c:pt idx="4">
                  <c:v>2285</c:v>
                </c:pt>
                <c:pt idx="5">
                  <c:v>2580</c:v>
                </c:pt>
                <c:pt idx="6">
                  <c:v>2705</c:v>
                </c:pt>
                <c:pt idx="7">
                  <c:v>3705</c:v>
                </c:pt>
                <c:pt idx="8">
                  <c:v>6965</c:v>
                </c:pt>
              </c:numCache>
            </c:numRef>
          </c:xVal>
          <c:yVal>
            <c:numRef>
              <c:f>'PIL-CALIB(03)'!$F$2:$F$10</c:f>
              <c:numCache>
                <c:formatCode>General</c:formatCode>
                <c:ptCount val="9"/>
                <c:pt idx="0">
                  <c:v>201.67</c:v>
                </c:pt>
                <c:pt idx="1">
                  <c:v>153.13</c:v>
                </c:pt>
                <c:pt idx="2">
                  <c:v>157.41999999999999</c:v>
                </c:pt>
                <c:pt idx="3" formatCode="0.00">
                  <c:v>148.38999999999999</c:v>
                </c:pt>
                <c:pt idx="4">
                  <c:v>133.53</c:v>
                </c:pt>
                <c:pt idx="5" formatCode="0.00">
                  <c:v>110.65</c:v>
                </c:pt>
                <c:pt idx="6">
                  <c:v>96.09</c:v>
                </c:pt>
                <c:pt idx="7">
                  <c:v>62.22</c:v>
                </c:pt>
                <c:pt idx="8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C-4D95-A9B6-7B5B098C26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'PIL-CALIB(03)'!$E$2:$E$10</c:f>
              <c:numCache>
                <c:formatCode>0</c:formatCode>
                <c:ptCount val="9"/>
                <c:pt idx="0">
                  <c:v>0</c:v>
                </c:pt>
                <c:pt idx="1">
                  <c:v>386</c:v>
                </c:pt>
                <c:pt idx="2">
                  <c:v>1510</c:v>
                </c:pt>
                <c:pt idx="3">
                  <c:v>2127</c:v>
                </c:pt>
                <c:pt idx="4">
                  <c:v>2285</c:v>
                </c:pt>
                <c:pt idx="5">
                  <c:v>2580</c:v>
                </c:pt>
                <c:pt idx="6">
                  <c:v>2705</c:v>
                </c:pt>
                <c:pt idx="7">
                  <c:v>3705</c:v>
                </c:pt>
                <c:pt idx="8">
                  <c:v>6965</c:v>
                </c:pt>
              </c:numCache>
            </c:numRef>
          </c:xVal>
          <c:yVal>
            <c:numRef>
              <c:f>'PIL-CALIB(03)'!$I$2:$I$10</c:f>
              <c:numCache>
                <c:formatCode>General</c:formatCode>
                <c:ptCount val="9"/>
                <c:pt idx="0">
                  <c:v>190</c:v>
                </c:pt>
                <c:pt idx="1">
                  <c:v>174</c:v>
                </c:pt>
                <c:pt idx="2">
                  <c:v>61</c:v>
                </c:pt>
                <c:pt idx="3">
                  <c:v>66</c:v>
                </c:pt>
                <c:pt idx="4">
                  <c:v>128</c:v>
                </c:pt>
                <c:pt idx="5">
                  <c:v>64</c:v>
                </c:pt>
                <c:pt idx="6">
                  <c:v>62</c:v>
                </c:pt>
                <c:pt idx="7">
                  <c:v>68</c:v>
                </c:pt>
                <c:pt idx="8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CC-4D95-A9B6-7B5B098C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0576"/>
        <c:axId val="720958936"/>
      </c:scatterChart>
      <c:valAx>
        <c:axId val="72096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58936"/>
        <c:crosses val="autoZero"/>
        <c:crossBetween val="midCat"/>
      </c:valAx>
      <c:valAx>
        <c:axId val="72095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6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'PIL-CALIB(04)'!$E$2:$E$10</c:f>
              <c:numCache>
                <c:formatCode>0</c:formatCode>
                <c:ptCount val="9"/>
                <c:pt idx="0">
                  <c:v>0</c:v>
                </c:pt>
                <c:pt idx="1">
                  <c:v>1430</c:v>
                </c:pt>
                <c:pt idx="2">
                  <c:v>1841</c:v>
                </c:pt>
                <c:pt idx="3">
                  <c:v>2670</c:v>
                </c:pt>
                <c:pt idx="4">
                  <c:v>2790</c:v>
                </c:pt>
                <c:pt idx="5">
                  <c:v>2910</c:v>
                </c:pt>
                <c:pt idx="6">
                  <c:v>3747</c:v>
                </c:pt>
                <c:pt idx="7">
                  <c:v>5080</c:v>
                </c:pt>
                <c:pt idx="8">
                  <c:v>6900</c:v>
                </c:pt>
              </c:numCache>
            </c:numRef>
          </c:xVal>
          <c:yVal>
            <c:numRef>
              <c:f>'PIL-CALIB(04)'!$F$2:$F$10</c:f>
              <c:numCache>
                <c:formatCode>General</c:formatCode>
                <c:ptCount val="9"/>
                <c:pt idx="0">
                  <c:v>207.38</c:v>
                </c:pt>
                <c:pt idx="1">
                  <c:v>187.71</c:v>
                </c:pt>
                <c:pt idx="2">
                  <c:v>176.37</c:v>
                </c:pt>
                <c:pt idx="3" formatCode="0.00">
                  <c:v>148.72</c:v>
                </c:pt>
                <c:pt idx="4" formatCode="0.00">
                  <c:v>140.59</c:v>
                </c:pt>
                <c:pt idx="5">
                  <c:v>133.41999999999999</c:v>
                </c:pt>
                <c:pt idx="6">
                  <c:v>98.84</c:v>
                </c:pt>
                <c:pt idx="7">
                  <c:v>56.37</c:v>
                </c:pt>
                <c:pt idx="8">
                  <c:v>9.35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1-471E-A644-02A971E976C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'PIL-CALIB(04)'!$E$2:$E$10</c:f>
              <c:numCache>
                <c:formatCode>0</c:formatCode>
                <c:ptCount val="9"/>
                <c:pt idx="0">
                  <c:v>0</c:v>
                </c:pt>
                <c:pt idx="1">
                  <c:v>1430</c:v>
                </c:pt>
                <c:pt idx="2">
                  <c:v>1841</c:v>
                </c:pt>
                <c:pt idx="3">
                  <c:v>2670</c:v>
                </c:pt>
                <c:pt idx="4">
                  <c:v>2790</c:v>
                </c:pt>
                <c:pt idx="5">
                  <c:v>2910</c:v>
                </c:pt>
                <c:pt idx="6">
                  <c:v>3747</c:v>
                </c:pt>
                <c:pt idx="7">
                  <c:v>5080</c:v>
                </c:pt>
                <c:pt idx="8">
                  <c:v>6900</c:v>
                </c:pt>
              </c:numCache>
            </c:numRef>
          </c:xVal>
          <c:yVal>
            <c:numRef>
              <c:f>'PIL-CALIB(04)'!$I$2:$I$10</c:f>
              <c:numCache>
                <c:formatCode>General</c:formatCode>
                <c:ptCount val="9"/>
                <c:pt idx="0">
                  <c:v>246</c:v>
                </c:pt>
                <c:pt idx="1">
                  <c:v>36</c:v>
                </c:pt>
                <c:pt idx="2">
                  <c:v>62</c:v>
                </c:pt>
                <c:pt idx="3">
                  <c:v>63</c:v>
                </c:pt>
                <c:pt idx="4">
                  <c:v>121</c:v>
                </c:pt>
                <c:pt idx="5">
                  <c:v>100</c:v>
                </c:pt>
                <c:pt idx="6">
                  <c:v>65</c:v>
                </c:pt>
                <c:pt idx="7">
                  <c:v>72</c:v>
                </c:pt>
                <c:pt idx="8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B1-471E-A644-02A971E9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31912"/>
        <c:axId val="574730272"/>
      </c:scatterChart>
      <c:valAx>
        <c:axId val="57473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30272"/>
        <c:crosses val="autoZero"/>
        <c:crossBetween val="midCat"/>
      </c:valAx>
      <c:valAx>
        <c:axId val="5747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3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'PIL-VALID(01)'!$E$2:$E$10</c:f>
              <c:numCache>
                <c:formatCode>General</c:formatCode>
                <c:ptCount val="9"/>
                <c:pt idx="0">
                  <c:v>0</c:v>
                </c:pt>
                <c:pt idx="1">
                  <c:v>1010</c:v>
                </c:pt>
                <c:pt idx="2">
                  <c:v>1659</c:v>
                </c:pt>
                <c:pt idx="3" formatCode="0.00">
                  <c:v>2560</c:v>
                </c:pt>
                <c:pt idx="4" formatCode="0.00">
                  <c:v>2680</c:v>
                </c:pt>
                <c:pt idx="5" formatCode="0.00">
                  <c:v>3050</c:v>
                </c:pt>
                <c:pt idx="6" formatCode="0.00">
                  <c:v>3475</c:v>
                </c:pt>
                <c:pt idx="7" formatCode="0.00">
                  <c:v>4345</c:v>
                </c:pt>
                <c:pt idx="8" formatCode="0.00">
                  <c:v>7140</c:v>
                </c:pt>
              </c:numCache>
            </c:numRef>
          </c:xVal>
          <c:yVal>
            <c:numRef>
              <c:f>'PIL-VALID(01)'!$F$2:$F$10</c:f>
              <c:numCache>
                <c:formatCode>General</c:formatCode>
                <c:ptCount val="9"/>
                <c:pt idx="0">
                  <c:v>211.84</c:v>
                </c:pt>
                <c:pt idx="1">
                  <c:v>193.78</c:v>
                </c:pt>
                <c:pt idx="2">
                  <c:v>174.37</c:v>
                </c:pt>
                <c:pt idx="3" formatCode="0.00">
                  <c:v>141.63999999999999</c:v>
                </c:pt>
                <c:pt idx="4" formatCode="0.00">
                  <c:v>144.69999999999999</c:v>
                </c:pt>
                <c:pt idx="5">
                  <c:v>121.01</c:v>
                </c:pt>
                <c:pt idx="6">
                  <c:v>99.03</c:v>
                </c:pt>
                <c:pt idx="7">
                  <c:v>72.28</c:v>
                </c:pt>
                <c:pt idx="8">
                  <c:v>8.48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4-4FE6-A94D-336CCA9FA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'PIL-VALID(01)'!$E$2:$E$10</c:f>
              <c:numCache>
                <c:formatCode>General</c:formatCode>
                <c:ptCount val="9"/>
                <c:pt idx="0">
                  <c:v>0</c:v>
                </c:pt>
                <c:pt idx="1">
                  <c:v>1010</c:v>
                </c:pt>
                <c:pt idx="2">
                  <c:v>1659</c:v>
                </c:pt>
                <c:pt idx="3" formatCode="0.00">
                  <c:v>2560</c:v>
                </c:pt>
                <c:pt idx="4" formatCode="0.00">
                  <c:v>2680</c:v>
                </c:pt>
                <c:pt idx="5" formatCode="0.00">
                  <c:v>3050</c:v>
                </c:pt>
                <c:pt idx="6" formatCode="0.00">
                  <c:v>3475</c:v>
                </c:pt>
                <c:pt idx="7" formatCode="0.00">
                  <c:v>4345</c:v>
                </c:pt>
                <c:pt idx="8" formatCode="0.00">
                  <c:v>7140</c:v>
                </c:pt>
              </c:numCache>
            </c:numRef>
          </c:xVal>
          <c:yVal>
            <c:numRef>
              <c:f>'PIL-VALID(01)'!$I$2:$I$10</c:f>
              <c:numCache>
                <c:formatCode>General</c:formatCode>
                <c:ptCount val="9"/>
                <c:pt idx="0">
                  <c:v>232</c:v>
                </c:pt>
                <c:pt idx="1">
                  <c:v>117</c:v>
                </c:pt>
                <c:pt idx="2">
                  <c:v>67</c:v>
                </c:pt>
                <c:pt idx="3">
                  <c:v>65</c:v>
                </c:pt>
                <c:pt idx="4">
                  <c:v>191</c:v>
                </c:pt>
                <c:pt idx="5">
                  <c:v>123</c:v>
                </c:pt>
                <c:pt idx="6">
                  <c:v>65</c:v>
                </c:pt>
                <c:pt idx="7">
                  <c:v>66</c:v>
                </c:pt>
                <c:pt idx="8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84-4FE6-A94D-336CCA9FA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47168"/>
        <c:axId val="720944216"/>
      </c:scatterChart>
      <c:valAx>
        <c:axId val="72094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44216"/>
        <c:crosses val="autoZero"/>
        <c:crossBetween val="midCat"/>
      </c:valAx>
      <c:valAx>
        <c:axId val="72094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4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'PIL-VALID(02)'!$E$2:$E$8</c:f>
              <c:numCache>
                <c:formatCode>0</c:formatCode>
                <c:ptCount val="7"/>
                <c:pt idx="0">
                  <c:v>0</c:v>
                </c:pt>
                <c:pt idx="1">
                  <c:v>420</c:v>
                </c:pt>
                <c:pt idx="2">
                  <c:v>1520</c:v>
                </c:pt>
                <c:pt idx="3">
                  <c:v>1920</c:v>
                </c:pt>
                <c:pt idx="4">
                  <c:v>3340</c:v>
                </c:pt>
                <c:pt idx="5">
                  <c:v>4565</c:v>
                </c:pt>
                <c:pt idx="6">
                  <c:v>6120</c:v>
                </c:pt>
              </c:numCache>
            </c:numRef>
          </c:xVal>
          <c:yVal>
            <c:numRef>
              <c:f>'PIL-VALID(02)'!$F$2:$F$8</c:f>
              <c:numCache>
                <c:formatCode>General</c:formatCode>
                <c:ptCount val="7"/>
                <c:pt idx="0">
                  <c:v>213.75</c:v>
                </c:pt>
                <c:pt idx="1">
                  <c:v>194.82</c:v>
                </c:pt>
                <c:pt idx="2">
                  <c:v>156.54</c:v>
                </c:pt>
                <c:pt idx="3">
                  <c:v>135.72</c:v>
                </c:pt>
                <c:pt idx="4">
                  <c:v>74.88</c:v>
                </c:pt>
                <c:pt idx="5">
                  <c:v>32.99</c:v>
                </c:pt>
                <c:pt idx="6">
                  <c:v>30.23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5-4E8C-B4DB-D7928EA359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'PIL-VALID(02)'!$E$2:$E$8</c:f>
              <c:numCache>
                <c:formatCode>0</c:formatCode>
                <c:ptCount val="7"/>
                <c:pt idx="0">
                  <c:v>0</c:v>
                </c:pt>
                <c:pt idx="1">
                  <c:v>420</c:v>
                </c:pt>
                <c:pt idx="2">
                  <c:v>1520</c:v>
                </c:pt>
                <c:pt idx="3">
                  <c:v>1920</c:v>
                </c:pt>
                <c:pt idx="4">
                  <c:v>3340</c:v>
                </c:pt>
                <c:pt idx="5">
                  <c:v>4565</c:v>
                </c:pt>
                <c:pt idx="6">
                  <c:v>6120</c:v>
                </c:pt>
              </c:numCache>
            </c:numRef>
          </c:xVal>
          <c:yVal>
            <c:numRef>
              <c:f>'PIL-VALID(02)'!$I$2:$I$8</c:f>
              <c:numCache>
                <c:formatCode>General</c:formatCode>
                <c:ptCount val="7"/>
                <c:pt idx="0">
                  <c:v>294</c:v>
                </c:pt>
                <c:pt idx="1">
                  <c:v>112</c:v>
                </c:pt>
                <c:pt idx="2">
                  <c:v>67</c:v>
                </c:pt>
                <c:pt idx="3">
                  <c:v>109</c:v>
                </c:pt>
                <c:pt idx="4">
                  <c:v>68</c:v>
                </c:pt>
                <c:pt idx="5">
                  <c:v>72</c:v>
                </c:pt>
                <c:pt idx="6">
                  <c:v>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5-4E8C-B4DB-D7928EA3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450840"/>
        <c:axId val="649448544"/>
      </c:scatterChart>
      <c:valAx>
        <c:axId val="64945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48544"/>
        <c:crosses val="autoZero"/>
        <c:crossBetween val="midCat"/>
      </c:valAx>
      <c:valAx>
        <c:axId val="6494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50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104775</xdr:rowOff>
    </xdr:from>
    <xdr:to>
      <xdr:col>5</xdr:col>
      <xdr:colOff>333375</xdr:colOff>
      <xdr:row>27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10CE0-A1AC-476D-B445-803123603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13</xdr:row>
      <xdr:rowOff>9525</xdr:rowOff>
    </xdr:from>
    <xdr:to>
      <xdr:col>5</xdr:col>
      <xdr:colOff>895350</xdr:colOff>
      <xdr:row>26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9E0857-B661-4E30-B680-AC293BA9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11</xdr:row>
      <xdr:rowOff>28575</xdr:rowOff>
    </xdr:from>
    <xdr:to>
      <xdr:col>5</xdr:col>
      <xdr:colOff>809625</xdr:colOff>
      <xdr:row>24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50F032-2E65-4E04-8939-DF3B6CB47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13</xdr:row>
      <xdr:rowOff>142875</xdr:rowOff>
    </xdr:from>
    <xdr:to>
      <xdr:col>6</xdr:col>
      <xdr:colOff>47625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F8DEB4-735B-42E8-A43B-31B9C240B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13</xdr:row>
      <xdr:rowOff>66675</xdr:rowOff>
    </xdr:from>
    <xdr:to>
      <xdr:col>6</xdr:col>
      <xdr:colOff>314325</xdr:colOff>
      <xdr:row>27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3DCE92-7FCD-49CE-B641-3B50B9D6E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13</xdr:row>
      <xdr:rowOff>38100</xdr:rowOff>
    </xdr:from>
    <xdr:to>
      <xdr:col>5</xdr:col>
      <xdr:colOff>1000125</xdr:colOff>
      <xdr:row>26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24E8DF-582F-4CB1-A8E5-CD30C325D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>
      <selection activeCell="H23" sqref="H23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6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2" t="s">
        <v>65</v>
      </c>
      <c r="B2" s="63" t="s">
        <v>66</v>
      </c>
      <c r="C2" s="64">
        <v>43902.541666666664</v>
      </c>
      <c r="D2" s="65">
        <v>0.54166666666666663</v>
      </c>
      <c r="E2" s="66">
        <v>0</v>
      </c>
      <c r="F2" s="63">
        <v>210.46</v>
      </c>
      <c r="G2" s="63">
        <v>104.48</v>
      </c>
      <c r="H2" s="63">
        <v>105.97</v>
      </c>
      <c r="I2" s="63">
        <v>189</v>
      </c>
      <c r="J2" s="67">
        <v>1097</v>
      </c>
      <c r="K2" s="63">
        <v>1087</v>
      </c>
      <c r="L2" s="67" t="s">
        <v>67</v>
      </c>
      <c r="M2" s="24">
        <v>27.6</v>
      </c>
      <c r="N2" s="68">
        <v>3.45</v>
      </c>
      <c r="O2" s="63">
        <v>478</v>
      </c>
      <c r="P2" s="63">
        <v>1240</v>
      </c>
    </row>
    <row r="3" spans="1:16" ht="15.75" customHeight="1" x14ac:dyDescent="0.2">
      <c r="A3" s="22" t="s">
        <v>21</v>
      </c>
      <c r="B3" s="25" t="s">
        <v>68</v>
      </c>
      <c r="C3" s="27">
        <v>43903.059027777781</v>
      </c>
      <c r="D3" s="29">
        <v>5.9027777777777776E-2</v>
      </c>
      <c r="E3" s="33">
        <f>(24-13)*60+85</f>
        <v>745</v>
      </c>
      <c r="F3" s="25">
        <v>165.35</v>
      </c>
      <c r="G3" s="25">
        <v>80.87</v>
      </c>
      <c r="H3" s="25">
        <v>84.48</v>
      </c>
      <c r="I3" s="25">
        <v>144</v>
      </c>
      <c r="J3" s="25">
        <v>1086.4000000000001</v>
      </c>
      <c r="K3" s="25">
        <v>1087</v>
      </c>
      <c r="L3" s="25">
        <v>21.1</v>
      </c>
      <c r="M3" s="35">
        <v>28.2</v>
      </c>
      <c r="N3" s="25"/>
      <c r="O3" s="25">
        <v>152</v>
      </c>
      <c r="P3" s="25">
        <v>724</v>
      </c>
    </row>
    <row r="4" spans="1:16" ht="15.75" customHeight="1" x14ac:dyDescent="0.2">
      <c r="A4" s="22" t="s">
        <v>27</v>
      </c>
      <c r="B4" s="25" t="s">
        <v>69</v>
      </c>
      <c r="C4" s="39">
        <v>43903.84375</v>
      </c>
      <c r="D4" s="29">
        <v>0.84375</v>
      </c>
      <c r="E4" s="33">
        <f>35+18*60+15+E3</f>
        <v>1875</v>
      </c>
      <c r="F4" s="25">
        <v>148.30000000000001</v>
      </c>
      <c r="G4" s="25">
        <v>65.739999999999995</v>
      </c>
      <c r="H4" s="25">
        <v>82.56</v>
      </c>
      <c r="I4" s="25">
        <v>51</v>
      </c>
      <c r="J4" s="25">
        <v>1070.0999999999999</v>
      </c>
      <c r="K4" s="25">
        <v>1073</v>
      </c>
      <c r="L4" s="25">
        <v>17.399999999999999</v>
      </c>
      <c r="M4" s="35">
        <v>27.1</v>
      </c>
      <c r="N4" s="25"/>
      <c r="O4" s="25">
        <v>310</v>
      </c>
      <c r="P4" s="25">
        <v>948</v>
      </c>
    </row>
    <row r="5" spans="1:16" ht="15.75" customHeight="1" x14ac:dyDescent="0.2">
      <c r="A5" s="22" t="s">
        <v>31</v>
      </c>
      <c r="B5" s="25" t="s">
        <v>70</v>
      </c>
      <c r="C5" s="39">
        <v>43904.420138888891</v>
      </c>
      <c r="D5" s="29">
        <v>0.4201388888888889</v>
      </c>
      <c r="E5" s="33">
        <f>45+(24-21)*60+10*60+5+E4</f>
        <v>2705</v>
      </c>
      <c r="F5" s="42">
        <v>138.47</v>
      </c>
      <c r="G5" s="42">
        <v>55.73</v>
      </c>
      <c r="H5" s="25">
        <v>82.74</v>
      </c>
      <c r="I5" s="25">
        <v>54</v>
      </c>
      <c r="J5" s="25">
        <v>1059.3</v>
      </c>
      <c r="K5" s="25">
        <v>1060</v>
      </c>
      <c r="L5" s="25">
        <v>14.8</v>
      </c>
      <c r="M5" s="35">
        <v>26.6</v>
      </c>
      <c r="N5" s="25"/>
      <c r="O5" s="25">
        <v>398</v>
      </c>
      <c r="P5" s="25">
        <v>1178</v>
      </c>
    </row>
    <row r="6" spans="1:16" ht="15.75" customHeight="1" x14ac:dyDescent="0.2">
      <c r="A6" s="22" t="s">
        <v>35</v>
      </c>
      <c r="B6" s="25" t="s">
        <v>71</v>
      </c>
      <c r="C6" s="39">
        <v>43904.583333333336</v>
      </c>
      <c r="D6" s="29">
        <v>0.58333333333333337</v>
      </c>
      <c r="E6" s="33">
        <f>E5+55+3*60</f>
        <v>2940</v>
      </c>
      <c r="F6" s="42">
        <v>130.05000000000001</v>
      </c>
      <c r="G6" s="25">
        <v>50.27</v>
      </c>
      <c r="H6" s="25">
        <v>79.78</v>
      </c>
      <c r="I6" s="25">
        <v>130</v>
      </c>
      <c r="J6" s="25">
        <v>1055.5999999999999</v>
      </c>
      <c r="K6" s="25">
        <v>1060</v>
      </c>
      <c r="L6" s="35">
        <v>14.1</v>
      </c>
      <c r="M6" s="35">
        <v>26.9</v>
      </c>
      <c r="N6" s="25"/>
      <c r="O6" s="25">
        <v>452</v>
      </c>
      <c r="P6" s="25">
        <v>1250</v>
      </c>
    </row>
    <row r="7" spans="1:16" ht="15.75" customHeight="1" x14ac:dyDescent="0.2">
      <c r="A7" s="22" t="s">
        <v>37</v>
      </c>
      <c r="B7" s="25" t="s">
        <v>72</v>
      </c>
      <c r="C7" s="39">
        <v>43904.6875</v>
      </c>
      <c r="D7" s="29">
        <v>0.6875</v>
      </c>
      <c r="E7" s="33">
        <f>E6+2*60+30</f>
        <v>3090</v>
      </c>
      <c r="F7" s="25">
        <v>109.29</v>
      </c>
      <c r="G7" s="25">
        <v>40.840000000000003</v>
      </c>
      <c r="H7" s="25">
        <v>68.44</v>
      </c>
      <c r="I7" s="25">
        <v>69</v>
      </c>
      <c r="J7" s="35">
        <v>1051.7</v>
      </c>
      <c r="K7" s="35">
        <v>1052</v>
      </c>
      <c r="L7" s="35">
        <v>12.9</v>
      </c>
      <c r="M7" s="35">
        <v>26.9</v>
      </c>
      <c r="N7" s="25"/>
      <c r="O7" s="25">
        <v>372</v>
      </c>
      <c r="P7" s="25">
        <v>1112</v>
      </c>
    </row>
    <row r="8" spans="1:16" ht="15.75" customHeight="1" x14ac:dyDescent="0.2">
      <c r="A8" s="22" t="s">
        <v>41</v>
      </c>
      <c r="B8" s="25" t="s">
        <v>73</v>
      </c>
      <c r="C8" s="39">
        <v>43904.854166666664</v>
      </c>
      <c r="D8" s="29">
        <v>0.85416666666666663</v>
      </c>
      <c r="E8" s="33">
        <f>E7+4*60</f>
        <v>3330</v>
      </c>
      <c r="F8" s="25">
        <v>107.76</v>
      </c>
      <c r="G8" s="25">
        <v>37.17</v>
      </c>
      <c r="H8" s="42">
        <v>70.59</v>
      </c>
      <c r="I8" s="25">
        <v>59</v>
      </c>
      <c r="J8" s="35">
        <v>1044.5</v>
      </c>
      <c r="K8" s="35">
        <v>1038</v>
      </c>
      <c r="L8" s="35">
        <v>11.4</v>
      </c>
      <c r="M8" s="35">
        <v>27</v>
      </c>
      <c r="N8" s="25"/>
      <c r="O8" s="25">
        <v>465</v>
      </c>
      <c r="P8" s="25">
        <v>1287</v>
      </c>
    </row>
    <row r="9" spans="1:16" ht="15.75" customHeight="1" x14ac:dyDescent="0.2">
      <c r="A9" s="22" t="s">
        <v>44</v>
      </c>
      <c r="B9" s="25" t="s">
        <v>74</v>
      </c>
      <c r="C9" s="39">
        <v>43905.681944444441</v>
      </c>
      <c r="D9" s="29">
        <v>0.68194444444444446</v>
      </c>
      <c r="E9" s="33">
        <f>30+(24-21)*60+16*60+22+E8</f>
        <v>4522</v>
      </c>
      <c r="F9" s="25">
        <v>57.11</v>
      </c>
      <c r="G9" s="25">
        <v>13.75</v>
      </c>
      <c r="H9" s="42">
        <v>43.36</v>
      </c>
      <c r="I9" s="25">
        <v>60</v>
      </c>
      <c r="J9" s="35">
        <v>1022.8</v>
      </c>
      <c r="K9" s="35">
        <v>1024</v>
      </c>
      <c r="L9" s="35">
        <v>6.1</v>
      </c>
      <c r="M9" s="35">
        <v>27</v>
      </c>
      <c r="N9" s="48"/>
      <c r="O9" s="25">
        <v>492</v>
      </c>
      <c r="P9" s="25">
        <v>1324</v>
      </c>
    </row>
    <row r="10" spans="1:16" ht="15.75" customHeight="1" x14ac:dyDescent="0.2">
      <c r="A10" s="50" t="s">
        <v>49</v>
      </c>
      <c r="B10" s="51" t="s">
        <v>75</v>
      </c>
      <c r="C10" s="53">
        <v>43907.75</v>
      </c>
      <c r="D10" s="55">
        <v>0.75</v>
      </c>
      <c r="E10" s="58">
        <f>38+(24-17)*60+24*60+18*60+E9</f>
        <v>7500</v>
      </c>
      <c r="F10" s="51">
        <v>1.19</v>
      </c>
      <c r="G10" s="51">
        <v>0.19</v>
      </c>
      <c r="H10" s="59">
        <v>0.99</v>
      </c>
      <c r="I10" s="51">
        <v>42</v>
      </c>
      <c r="J10" s="51">
        <v>995.7</v>
      </c>
      <c r="K10" s="51">
        <v>994</v>
      </c>
      <c r="L10" s="51">
        <v>-0.9</v>
      </c>
      <c r="M10" s="60">
        <v>26.9</v>
      </c>
      <c r="N10" s="51">
        <v>3.65</v>
      </c>
      <c r="O10" s="51">
        <v>697</v>
      </c>
      <c r="P10" s="51">
        <v>1671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100"/>
    </row>
    <row r="17" spans="5:5" ht="15.75" customHeight="1" x14ac:dyDescent="0.2">
      <c r="E17" s="100"/>
    </row>
    <row r="18" spans="5:5" ht="15.75" customHeight="1" x14ac:dyDescent="0.2">
      <c r="E18" s="100"/>
    </row>
    <row r="19" spans="5:5" ht="15.75" customHeight="1" x14ac:dyDescent="0.2">
      <c r="E19" s="100"/>
    </row>
    <row r="20" spans="5:5" ht="15.75" customHeight="1" x14ac:dyDescent="0.2">
      <c r="E20" s="100"/>
    </row>
    <row r="21" spans="5:5" ht="15.75" customHeight="1" x14ac:dyDescent="0.2">
      <c r="E21" s="100"/>
    </row>
    <row r="22" spans="5:5" ht="15.75" customHeight="1" x14ac:dyDescent="0.2">
      <c r="E22" s="100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I30" sqref="I3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4.7109375" customWidth="1"/>
    <col min="15" max="15" width="19.140625" customWidth="1"/>
    <col min="16" max="16" width="17.42578125" customWidth="1"/>
  </cols>
  <sheetData>
    <row r="1" spans="1:1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customHeight="1" x14ac:dyDescent="0.2">
      <c r="A2" s="6" t="s">
        <v>16</v>
      </c>
      <c r="B2" s="8" t="s">
        <v>17</v>
      </c>
      <c r="C2" s="10">
        <v>43908.597222222219</v>
      </c>
      <c r="D2" s="12">
        <v>0.59722222222222221</v>
      </c>
      <c r="E2" s="14">
        <v>0</v>
      </c>
      <c r="F2" s="8">
        <v>206.37</v>
      </c>
      <c r="G2" s="8">
        <v>103.47</v>
      </c>
      <c r="H2" s="8">
        <v>102.9</v>
      </c>
      <c r="I2" s="8">
        <v>265</v>
      </c>
      <c r="J2" s="8">
        <v>1090</v>
      </c>
      <c r="K2" s="14">
        <v>1090</v>
      </c>
      <c r="L2" s="8">
        <v>21.9</v>
      </c>
      <c r="M2" s="16">
        <v>18.8</v>
      </c>
      <c r="N2" s="18">
        <v>3.7</v>
      </c>
      <c r="O2" s="8">
        <v>56</v>
      </c>
      <c r="P2" s="20">
        <v>483</v>
      </c>
    </row>
    <row r="3" spans="1:16" ht="15.75" customHeight="1" x14ac:dyDescent="0.2">
      <c r="A3" s="22" t="s">
        <v>21</v>
      </c>
      <c r="B3" s="25" t="s">
        <v>22</v>
      </c>
      <c r="C3" s="27">
        <v>43909.229166666664</v>
      </c>
      <c r="D3" s="29">
        <v>0.22916666666666666</v>
      </c>
      <c r="E3" s="33">
        <f>40+(24-15)*60+5*60+30</f>
        <v>910</v>
      </c>
      <c r="F3" s="25">
        <v>176.99</v>
      </c>
      <c r="G3" s="25">
        <v>83.7</v>
      </c>
      <c r="H3" s="25">
        <v>93.29</v>
      </c>
      <c r="I3" s="25">
        <v>63</v>
      </c>
      <c r="J3" s="25">
        <v>1084.8</v>
      </c>
      <c r="K3" s="33">
        <v>1083</v>
      </c>
      <c r="L3" s="25">
        <v>20.3</v>
      </c>
      <c r="M3" s="35">
        <v>19.5</v>
      </c>
      <c r="N3" s="25" t="s">
        <v>26</v>
      </c>
      <c r="O3" s="25">
        <v>191</v>
      </c>
      <c r="P3" s="37">
        <v>669</v>
      </c>
    </row>
    <row r="4" spans="1:16" ht="15.75" customHeight="1" x14ac:dyDescent="0.2">
      <c r="A4" s="22" t="s">
        <v>27</v>
      </c>
      <c r="B4" s="25" t="s">
        <v>28</v>
      </c>
      <c r="C4" s="39">
        <v>43910.429166666669</v>
      </c>
      <c r="D4" s="29">
        <v>0.42916666666666664</v>
      </c>
      <c r="E4" s="33">
        <f>30+(24-6)*60+10*60+18+E3</f>
        <v>2638</v>
      </c>
      <c r="F4" s="25">
        <v>173.17</v>
      </c>
      <c r="G4" s="25">
        <v>77.89</v>
      </c>
      <c r="H4" s="25">
        <v>95.28</v>
      </c>
      <c r="I4" s="25">
        <v>55</v>
      </c>
      <c r="J4" s="25">
        <v>1077.3</v>
      </c>
      <c r="K4" s="33">
        <v>1075</v>
      </c>
      <c r="L4" s="25">
        <v>19.2</v>
      </c>
      <c r="M4" s="35">
        <v>26.4</v>
      </c>
      <c r="N4" s="25" t="s">
        <v>26</v>
      </c>
      <c r="O4" s="25">
        <v>221</v>
      </c>
      <c r="P4" s="37">
        <v>701</v>
      </c>
    </row>
    <row r="5" spans="1:16" ht="15.75" customHeight="1" x14ac:dyDescent="0.2">
      <c r="A5" s="22" t="s">
        <v>31</v>
      </c>
      <c r="B5" s="25" t="s">
        <v>33</v>
      </c>
      <c r="C5" s="39">
        <v>43910.897222222222</v>
      </c>
      <c r="D5" s="29">
        <v>0.89722222222222225</v>
      </c>
      <c r="E5" s="33">
        <f>42+10*60+32+E4</f>
        <v>3312</v>
      </c>
      <c r="F5" s="42">
        <v>151.18</v>
      </c>
      <c r="G5" s="42">
        <v>63.15</v>
      </c>
      <c r="H5" s="25">
        <v>88.04</v>
      </c>
      <c r="I5" s="25">
        <v>47</v>
      </c>
      <c r="J5" s="25">
        <v>1066.2</v>
      </c>
      <c r="K5" s="33">
        <v>1065</v>
      </c>
      <c r="L5" s="25">
        <v>16.3</v>
      </c>
      <c r="M5" s="35">
        <v>26.9</v>
      </c>
      <c r="N5" s="25" t="s">
        <v>26</v>
      </c>
      <c r="O5" s="25">
        <v>254</v>
      </c>
      <c r="P5" s="37">
        <v>845</v>
      </c>
    </row>
    <row r="6" spans="1:16" ht="15.75" customHeight="1" x14ac:dyDescent="0.2">
      <c r="A6" s="22" t="s">
        <v>35</v>
      </c>
      <c r="B6" s="25" t="s">
        <v>40</v>
      </c>
      <c r="C6" s="39">
        <v>43911.072916666664</v>
      </c>
      <c r="D6" s="29">
        <v>7.2916666666666671E-2</v>
      </c>
      <c r="E6" s="33">
        <f>28+(24-22)*60+1*60+45+E5</f>
        <v>3565</v>
      </c>
      <c r="F6" s="42">
        <v>137.52000000000001</v>
      </c>
      <c r="G6" s="25">
        <v>56.41</v>
      </c>
      <c r="H6" s="25">
        <v>81.11</v>
      </c>
      <c r="I6" s="25">
        <v>117</v>
      </c>
      <c r="J6" s="25">
        <v>1061</v>
      </c>
      <c r="K6" s="33">
        <v>1065</v>
      </c>
      <c r="L6" s="35">
        <v>15.1</v>
      </c>
      <c r="M6" s="35">
        <v>26.3</v>
      </c>
      <c r="N6" s="25" t="s">
        <v>26</v>
      </c>
      <c r="O6" s="25">
        <v>233</v>
      </c>
      <c r="P6" s="37">
        <v>815</v>
      </c>
    </row>
    <row r="7" spans="1:16" ht="15.75" customHeight="1" x14ac:dyDescent="0.2">
      <c r="A7" s="22" t="s">
        <v>37</v>
      </c>
      <c r="B7" s="25" t="s">
        <v>47</v>
      </c>
      <c r="C7" s="39">
        <v>43911.415277777778</v>
      </c>
      <c r="D7" s="29">
        <v>0.4152777777777778</v>
      </c>
      <c r="E7" s="33">
        <f>15+7*60+58+E6</f>
        <v>4058</v>
      </c>
      <c r="F7" s="25">
        <v>106.42</v>
      </c>
      <c r="G7" s="25">
        <v>44.29</v>
      </c>
      <c r="H7" s="25">
        <v>62.14</v>
      </c>
      <c r="I7" s="25">
        <v>30</v>
      </c>
      <c r="J7" s="35">
        <v>1048.7</v>
      </c>
      <c r="K7" s="33">
        <v>1050</v>
      </c>
      <c r="L7" s="35">
        <v>12.2</v>
      </c>
      <c r="M7" s="35">
        <v>26.6</v>
      </c>
      <c r="N7" s="25" t="s">
        <v>26</v>
      </c>
      <c r="O7" s="25">
        <v>241</v>
      </c>
      <c r="P7" s="37">
        <v>851</v>
      </c>
    </row>
    <row r="8" spans="1:16" ht="15.75" customHeight="1" x14ac:dyDescent="0.2">
      <c r="A8" s="22" t="s">
        <v>41</v>
      </c>
      <c r="B8" s="25" t="s">
        <v>50</v>
      </c>
      <c r="C8" s="39">
        <v>43911.652777777781</v>
      </c>
      <c r="D8" s="29">
        <v>0.65277777777777779</v>
      </c>
      <c r="E8" s="33">
        <f>2+5*60+40+E7</f>
        <v>4400</v>
      </c>
      <c r="F8" s="25">
        <v>100.1</v>
      </c>
      <c r="G8" s="25">
        <v>33.9</v>
      </c>
      <c r="H8" s="42">
        <v>66.2</v>
      </c>
      <c r="I8" s="25">
        <v>54</v>
      </c>
      <c r="J8" s="35">
        <v>1042.0999999999999</v>
      </c>
      <c r="K8" s="33">
        <v>1040</v>
      </c>
      <c r="L8" s="35">
        <v>10.7</v>
      </c>
      <c r="M8" s="35">
        <v>26.6</v>
      </c>
      <c r="N8" s="25" t="s">
        <v>26</v>
      </c>
      <c r="O8" s="25">
        <v>279</v>
      </c>
      <c r="P8" s="37">
        <v>918</v>
      </c>
    </row>
    <row r="9" spans="1:16" ht="15.75" customHeight="1" x14ac:dyDescent="0.2">
      <c r="A9" s="22" t="s">
        <v>44</v>
      </c>
      <c r="B9" s="25" t="s">
        <v>53</v>
      </c>
      <c r="C9" s="39">
        <v>43912.869444444441</v>
      </c>
      <c r="D9" s="29">
        <v>0.86944444444444446</v>
      </c>
      <c r="E9" s="33">
        <f>20+(24-16)*60+20*60+52+E8</f>
        <v>6152</v>
      </c>
      <c r="F9" s="25">
        <v>45.86</v>
      </c>
      <c r="G9" s="25">
        <v>9.68</v>
      </c>
      <c r="H9" s="42">
        <v>36.18</v>
      </c>
      <c r="I9" s="25">
        <v>54</v>
      </c>
      <c r="J9" s="35">
        <v>1015.6</v>
      </c>
      <c r="K9" s="33">
        <v>1015</v>
      </c>
      <c r="L9" s="35">
        <v>4.2</v>
      </c>
      <c r="M9" s="35">
        <v>27.1</v>
      </c>
      <c r="N9" s="48" t="s">
        <v>26</v>
      </c>
      <c r="O9" s="25">
        <v>310</v>
      </c>
      <c r="P9" s="37">
        <v>1063</v>
      </c>
    </row>
    <row r="10" spans="1:16" ht="15.75" customHeight="1" x14ac:dyDescent="0.2">
      <c r="A10" s="50" t="s">
        <v>49</v>
      </c>
      <c r="B10" s="51" t="s">
        <v>55</v>
      </c>
      <c r="C10" s="53">
        <v>43913.663194444445</v>
      </c>
      <c r="D10" s="55">
        <v>0.66319444444444442</v>
      </c>
      <c r="E10" s="58">
        <f>8+(24-21)*60+15*60+55+E9</f>
        <v>7295</v>
      </c>
      <c r="F10" s="51">
        <v>19.39</v>
      </c>
      <c r="G10" s="51">
        <v>4.05</v>
      </c>
      <c r="H10" s="59">
        <v>15.34</v>
      </c>
      <c r="I10" s="51">
        <v>33</v>
      </c>
      <c r="J10" s="51">
        <v>1003.5</v>
      </c>
      <c r="K10" s="58">
        <v>1006</v>
      </c>
      <c r="L10" s="51">
        <v>1.2</v>
      </c>
      <c r="M10" s="60">
        <v>26.9</v>
      </c>
      <c r="N10" s="51" t="s">
        <v>26</v>
      </c>
      <c r="O10" s="51">
        <v>400</v>
      </c>
      <c r="P10" s="61">
        <v>1209</v>
      </c>
    </row>
    <row r="11" spans="1:16" ht="15.75" customHeight="1" x14ac:dyDescent="0.2">
      <c r="E11" s="57"/>
    </row>
    <row r="12" spans="1:16" ht="15.75" customHeight="1" x14ac:dyDescent="0.2">
      <c r="E12" s="57"/>
    </row>
    <row r="13" spans="1:16" ht="15.75" customHeight="1" x14ac:dyDescent="0.2">
      <c r="E13" s="57"/>
    </row>
    <row r="14" spans="1:16" ht="15.75" customHeight="1" x14ac:dyDescent="0.2">
      <c r="E14" s="57"/>
    </row>
    <row r="15" spans="1:16" ht="15.75" customHeight="1" x14ac:dyDescent="0.2">
      <c r="E15" s="57"/>
    </row>
    <row r="16" spans="1:16" ht="15.75" customHeight="1" x14ac:dyDescent="0.2">
      <c r="E16" s="57"/>
    </row>
    <row r="17" spans="5:5" ht="15.75" customHeight="1" x14ac:dyDescent="0.2">
      <c r="E17" s="57"/>
    </row>
    <row r="18" spans="5:5" ht="15.75" customHeight="1" x14ac:dyDescent="0.2">
      <c r="E18" s="57"/>
    </row>
    <row r="19" spans="5:5" ht="15.75" customHeight="1" x14ac:dyDescent="0.2">
      <c r="E19" s="57"/>
    </row>
    <row r="20" spans="5:5" ht="15.75" customHeight="1" x14ac:dyDescent="0.2">
      <c r="E20" s="57"/>
    </row>
    <row r="21" spans="5:5" ht="15.75" customHeight="1" x14ac:dyDescent="0.2">
      <c r="E21" s="57"/>
    </row>
    <row r="22" spans="5:5" ht="15.75" customHeight="1" x14ac:dyDescent="0.2">
      <c r="E22" s="57"/>
    </row>
    <row r="23" spans="5:5" ht="15.75" customHeight="1" x14ac:dyDescent="0.2">
      <c r="E23" s="57"/>
    </row>
    <row r="24" spans="5:5" ht="15.75" customHeight="1" x14ac:dyDescent="0.2">
      <c r="E24" s="57"/>
    </row>
    <row r="25" spans="5:5" ht="15.75" customHeight="1" x14ac:dyDescent="0.2">
      <c r="E25" s="57"/>
    </row>
    <row r="26" spans="5:5" ht="15.75" customHeight="1" x14ac:dyDescent="0.2">
      <c r="E26" s="57"/>
    </row>
    <row r="27" spans="5:5" ht="15.75" customHeight="1" x14ac:dyDescent="0.2">
      <c r="E27" s="57"/>
    </row>
    <row r="28" spans="5:5" ht="15.75" customHeight="1" x14ac:dyDescent="0.2">
      <c r="E28" s="57"/>
    </row>
    <row r="29" spans="5:5" ht="15.75" customHeight="1" x14ac:dyDescent="0.2">
      <c r="E29" s="57"/>
    </row>
    <row r="30" spans="5:5" ht="15.75" customHeight="1" x14ac:dyDescent="0.2">
      <c r="E30" s="57"/>
    </row>
    <row r="31" spans="5:5" ht="15.75" customHeight="1" x14ac:dyDescent="0.2">
      <c r="E31" s="57"/>
    </row>
    <row r="32" spans="5:5" ht="15.75" customHeight="1" x14ac:dyDescent="0.2">
      <c r="E32" s="57"/>
    </row>
    <row r="33" spans="5:5" ht="15.75" customHeight="1" x14ac:dyDescent="0.2">
      <c r="E33" s="57"/>
    </row>
    <row r="34" spans="5:5" ht="15.75" customHeight="1" x14ac:dyDescent="0.2">
      <c r="E34" s="57"/>
    </row>
    <row r="35" spans="5:5" ht="15.75" customHeight="1" x14ac:dyDescent="0.2">
      <c r="E35" s="57"/>
    </row>
    <row r="36" spans="5:5" ht="15.75" customHeight="1" x14ac:dyDescent="0.2">
      <c r="E36" s="57"/>
    </row>
    <row r="37" spans="5:5" ht="15.75" customHeight="1" x14ac:dyDescent="0.2">
      <c r="E37" s="57"/>
    </row>
    <row r="38" spans="5:5" ht="12.75" x14ac:dyDescent="0.2">
      <c r="E38" s="57"/>
    </row>
    <row r="39" spans="5:5" ht="12.75" x14ac:dyDescent="0.2">
      <c r="E39" s="57"/>
    </row>
    <row r="40" spans="5:5" ht="12.75" x14ac:dyDescent="0.2">
      <c r="E40" s="57"/>
    </row>
    <row r="41" spans="5:5" ht="12.75" x14ac:dyDescent="0.2">
      <c r="E41" s="57"/>
    </row>
    <row r="42" spans="5:5" ht="12.75" x14ac:dyDescent="0.2">
      <c r="E42" s="57"/>
    </row>
    <row r="43" spans="5:5" ht="12.75" x14ac:dyDescent="0.2">
      <c r="E43" s="57"/>
    </row>
    <row r="44" spans="5:5" ht="12.75" x14ac:dyDescent="0.2">
      <c r="E44" s="57"/>
    </row>
    <row r="45" spans="5:5" ht="12.75" x14ac:dyDescent="0.2">
      <c r="E45" s="57"/>
    </row>
    <row r="46" spans="5:5" ht="12.75" x14ac:dyDescent="0.2">
      <c r="E46" s="57"/>
    </row>
    <row r="47" spans="5:5" ht="12.75" x14ac:dyDescent="0.2">
      <c r="E47" s="57"/>
    </row>
    <row r="48" spans="5:5" ht="12.75" x14ac:dyDescent="0.2">
      <c r="E48" s="57"/>
    </row>
    <row r="49" spans="5:5" ht="12.75" x14ac:dyDescent="0.2">
      <c r="E49" s="57"/>
    </row>
    <row r="50" spans="5:5" ht="12.75" x14ac:dyDescent="0.2">
      <c r="E50" s="57"/>
    </row>
    <row r="51" spans="5:5" ht="12.75" x14ac:dyDescent="0.2">
      <c r="E51" s="57"/>
    </row>
    <row r="52" spans="5:5" ht="12.75" x14ac:dyDescent="0.2">
      <c r="E52" s="57"/>
    </row>
    <row r="53" spans="5:5" ht="12.75" x14ac:dyDescent="0.2">
      <c r="E53" s="57"/>
    </row>
    <row r="54" spans="5:5" ht="12.75" x14ac:dyDescent="0.2">
      <c r="E54" s="57"/>
    </row>
    <row r="55" spans="5:5" ht="12.75" x14ac:dyDescent="0.2">
      <c r="E55" s="57"/>
    </row>
    <row r="56" spans="5:5" ht="12.75" x14ac:dyDescent="0.2">
      <c r="E56" s="57"/>
    </row>
    <row r="57" spans="5:5" ht="12.75" x14ac:dyDescent="0.2">
      <c r="E57" s="57"/>
    </row>
    <row r="58" spans="5:5" ht="12.75" x14ac:dyDescent="0.2">
      <c r="E58" s="57"/>
    </row>
    <row r="59" spans="5:5" ht="12.75" x14ac:dyDescent="0.2">
      <c r="E59" s="57"/>
    </row>
    <row r="60" spans="5:5" ht="12.75" x14ac:dyDescent="0.2">
      <c r="E60" s="57"/>
    </row>
    <row r="61" spans="5:5" ht="12.75" x14ac:dyDescent="0.2">
      <c r="E61" s="57"/>
    </row>
    <row r="62" spans="5:5" ht="12.75" x14ac:dyDescent="0.2">
      <c r="E62" s="57"/>
    </row>
    <row r="63" spans="5:5" ht="12.75" x14ac:dyDescent="0.2">
      <c r="E63" s="57"/>
    </row>
    <row r="64" spans="5:5" ht="12.75" x14ac:dyDescent="0.2">
      <c r="E64" s="57"/>
    </row>
    <row r="65" spans="5:5" ht="12.75" x14ac:dyDescent="0.2">
      <c r="E65" s="57"/>
    </row>
    <row r="66" spans="5:5" ht="12.75" x14ac:dyDescent="0.2">
      <c r="E66" s="57"/>
    </row>
    <row r="67" spans="5:5" ht="12.75" x14ac:dyDescent="0.2">
      <c r="E67" s="57"/>
    </row>
    <row r="68" spans="5:5" ht="12.75" x14ac:dyDescent="0.2">
      <c r="E68" s="57"/>
    </row>
    <row r="69" spans="5:5" ht="12.75" x14ac:dyDescent="0.2">
      <c r="E69" s="57"/>
    </row>
    <row r="70" spans="5:5" ht="12.75" x14ac:dyDescent="0.2">
      <c r="E70" s="57"/>
    </row>
    <row r="71" spans="5:5" ht="12.75" x14ac:dyDescent="0.2">
      <c r="E71" s="57"/>
    </row>
    <row r="72" spans="5:5" ht="12.75" x14ac:dyDescent="0.2">
      <c r="E72" s="57"/>
    </row>
    <row r="73" spans="5:5" ht="12.75" x14ac:dyDescent="0.2">
      <c r="E73" s="57"/>
    </row>
    <row r="74" spans="5:5" ht="12.75" x14ac:dyDescent="0.2">
      <c r="E74" s="57"/>
    </row>
    <row r="75" spans="5:5" ht="12.75" x14ac:dyDescent="0.2">
      <c r="E75" s="57"/>
    </row>
    <row r="76" spans="5:5" ht="12.75" x14ac:dyDescent="0.2">
      <c r="E76" s="57"/>
    </row>
    <row r="77" spans="5:5" ht="12.75" x14ac:dyDescent="0.2">
      <c r="E77" s="57"/>
    </row>
    <row r="78" spans="5:5" ht="12.75" x14ac:dyDescent="0.2">
      <c r="E78" s="57"/>
    </row>
    <row r="79" spans="5:5" ht="12.75" x14ac:dyDescent="0.2">
      <c r="E79" s="57"/>
    </row>
    <row r="80" spans="5:5" ht="12.75" x14ac:dyDescent="0.2">
      <c r="E80" s="57"/>
    </row>
    <row r="81" spans="5:5" ht="12.75" x14ac:dyDescent="0.2">
      <c r="E81" s="57"/>
    </row>
    <row r="82" spans="5:5" ht="12.75" x14ac:dyDescent="0.2">
      <c r="E82" s="57"/>
    </row>
    <row r="83" spans="5:5" ht="12.75" x14ac:dyDescent="0.2">
      <c r="E83" s="57"/>
    </row>
    <row r="84" spans="5:5" ht="12.75" x14ac:dyDescent="0.2">
      <c r="E84" s="57"/>
    </row>
    <row r="85" spans="5:5" ht="12.75" x14ac:dyDescent="0.2">
      <c r="E85" s="57"/>
    </row>
    <row r="86" spans="5:5" ht="12.75" x14ac:dyDescent="0.2">
      <c r="E86" s="57"/>
    </row>
    <row r="87" spans="5:5" ht="12.75" x14ac:dyDescent="0.2">
      <c r="E87" s="57"/>
    </row>
    <row r="88" spans="5:5" ht="12.75" x14ac:dyDescent="0.2">
      <c r="E88" s="57"/>
    </row>
    <row r="89" spans="5:5" ht="12.75" x14ac:dyDescent="0.2">
      <c r="E89" s="57"/>
    </row>
    <row r="90" spans="5:5" ht="12.75" x14ac:dyDescent="0.2">
      <c r="E90" s="57"/>
    </row>
    <row r="91" spans="5:5" ht="12.75" x14ac:dyDescent="0.2">
      <c r="E91" s="57"/>
    </row>
    <row r="92" spans="5:5" ht="12.75" x14ac:dyDescent="0.2">
      <c r="E92" s="57"/>
    </row>
    <row r="93" spans="5:5" ht="12.75" x14ac:dyDescent="0.2">
      <c r="E93" s="57"/>
    </row>
    <row r="94" spans="5:5" ht="12.75" x14ac:dyDescent="0.2">
      <c r="E94" s="57"/>
    </row>
    <row r="95" spans="5:5" ht="12.75" x14ac:dyDescent="0.2">
      <c r="E95" s="57"/>
    </row>
    <row r="96" spans="5:5" ht="12.75" x14ac:dyDescent="0.2">
      <c r="E96" s="57"/>
    </row>
    <row r="97" spans="5:5" ht="12.75" x14ac:dyDescent="0.2">
      <c r="E97" s="57"/>
    </row>
    <row r="98" spans="5:5" ht="12.75" x14ac:dyDescent="0.2">
      <c r="E98" s="57"/>
    </row>
    <row r="99" spans="5:5" ht="12.75" x14ac:dyDescent="0.2">
      <c r="E99" s="57"/>
    </row>
    <row r="100" spans="5:5" ht="12.75" x14ac:dyDescent="0.2">
      <c r="E100" s="57"/>
    </row>
    <row r="101" spans="5:5" ht="12.75" x14ac:dyDescent="0.2">
      <c r="E101" s="57"/>
    </row>
    <row r="102" spans="5:5" ht="12.75" x14ac:dyDescent="0.2">
      <c r="E102" s="57"/>
    </row>
    <row r="103" spans="5:5" ht="12.75" x14ac:dyDescent="0.2">
      <c r="E103" s="57"/>
    </row>
    <row r="104" spans="5:5" ht="12.75" x14ac:dyDescent="0.2">
      <c r="E104" s="57"/>
    </row>
    <row r="105" spans="5:5" ht="12.75" x14ac:dyDescent="0.2">
      <c r="E105" s="57"/>
    </row>
    <row r="106" spans="5:5" ht="12.75" x14ac:dyDescent="0.2">
      <c r="E106" s="57"/>
    </row>
    <row r="107" spans="5:5" ht="12.75" x14ac:dyDescent="0.2">
      <c r="E107" s="57"/>
    </row>
    <row r="108" spans="5:5" ht="12.75" x14ac:dyDescent="0.2">
      <c r="E108" s="57"/>
    </row>
    <row r="109" spans="5:5" ht="12.75" x14ac:dyDescent="0.2">
      <c r="E109" s="57"/>
    </row>
    <row r="110" spans="5:5" ht="12.75" x14ac:dyDescent="0.2">
      <c r="E110" s="57"/>
    </row>
    <row r="111" spans="5:5" ht="12.75" x14ac:dyDescent="0.2">
      <c r="E111" s="57"/>
    </row>
    <row r="112" spans="5:5" ht="12.75" x14ac:dyDescent="0.2">
      <c r="E112" s="57"/>
    </row>
    <row r="113" spans="5:5" ht="12.75" x14ac:dyDescent="0.2">
      <c r="E113" s="57"/>
    </row>
    <row r="114" spans="5:5" ht="12.75" x14ac:dyDescent="0.2">
      <c r="E114" s="57"/>
    </row>
    <row r="115" spans="5:5" ht="12.75" x14ac:dyDescent="0.2">
      <c r="E115" s="57"/>
    </row>
    <row r="116" spans="5:5" ht="12.75" x14ac:dyDescent="0.2">
      <c r="E116" s="57"/>
    </row>
    <row r="117" spans="5:5" ht="12.75" x14ac:dyDescent="0.2">
      <c r="E117" s="57"/>
    </row>
    <row r="118" spans="5:5" ht="12.75" x14ac:dyDescent="0.2">
      <c r="E118" s="57"/>
    </row>
    <row r="119" spans="5:5" ht="12.75" x14ac:dyDescent="0.2">
      <c r="E119" s="57"/>
    </row>
    <row r="120" spans="5:5" ht="12.75" x14ac:dyDescent="0.2">
      <c r="E120" s="57"/>
    </row>
    <row r="121" spans="5:5" ht="12.75" x14ac:dyDescent="0.2">
      <c r="E121" s="57"/>
    </row>
    <row r="122" spans="5:5" ht="12.75" x14ac:dyDescent="0.2">
      <c r="E122" s="57"/>
    </row>
    <row r="123" spans="5:5" ht="12.75" x14ac:dyDescent="0.2">
      <c r="E123" s="57"/>
    </row>
    <row r="124" spans="5:5" ht="12.75" x14ac:dyDescent="0.2">
      <c r="E124" s="57"/>
    </row>
    <row r="125" spans="5:5" ht="12.75" x14ac:dyDescent="0.2">
      <c r="E125" s="57"/>
    </row>
    <row r="126" spans="5:5" ht="12.75" x14ac:dyDescent="0.2">
      <c r="E126" s="57"/>
    </row>
    <row r="127" spans="5:5" ht="12.75" x14ac:dyDescent="0.2">
      <c r="E127" s="57"/>
    </row>
    <row r="128" spans="5:5" ht="12.75" x14ac:dyDescent="0.2">
      <c r="E128" s="57"/>
    </row>
    <row r="129" spans="5:5" ht="12.75" x14ac:dyDescent="0.2">
      <c r="E129" s="57"/>
    </row>
    <row r="130" spans="5:5" ht="12.75" x14ac:dyDescent="0.2">
      <c r="E130" s="57"/>
    </row>
    <row r="131" spans="5:5" ht="12.75" x14ac:dyDescent="0.2">
      <c r="E131" s="57"/>
    </row>
    <row r="132" spans="5:5" ht="12.75" x14ac:dyDescent="0.2">
      <c r="E132" s="57"/>
    </row>
    <row r="133" spans="5:5" ht="12.75" x14ac:dyDescent="0.2">
      <c r="E133" s="57"/>
    </row>
    <row r="134" spans="5:5" ht="12.75" x14ac:dyDescent="0.2">
      <c r="E134" s="57"/>
    </row>
    <row r="135" spans="5:5" ht="12.75" x14ac:dyDescent="0.2">
      <c r="E135" s="57"/>
    </row>
    <row r="136" spans="5:5" ht="12.75" x14ac:dyDescent="0.2">
      <c r="E136" s="57"/>
    </row>
    <row r="137" spans="5:5" ht="12.75" x14ac:dyDescent="0.2">
      <c r="E137" s="57"/>
    </row>
    <row r="138" spans="5:5" ht="12.75" x14ac:dyDescent="0.2">
      <c r="E138" s="57"/>
    </row>
    <row r="139" spans="5:5" ht="12.75" x14ac:dyDescent="0.2">
      <c r="E139" s="57"/>
    </row>
    <row r="140" spans="5:5" ht="12.75" x14ac:dyDescent="0.2">
      <c r="E140" s="57"/>
    </row>
    <row r="141" spans="5:5" ht="12.75" x14ac:dyDescent="0.2">
      <c r="E141" s="57"/>
    </row>
    <row r="142" spans="5:5" ht="12.75" x14ac:dyDescent="0.2">
      <c r="E142" s="57"/>
    </row>
    <row r="143" spans="5:5" ht="12.75" x14ac:dyDescent="0.2">
      <c r="E143" s="57"/>
    </row>
    <row r="144" spans="5:5" ht="12.75" x14ac:dyDescent="0.2">
      <c r="E144" s="57"/>
    </row>
    <row r="145" spans="5:5" ht="12.75" x14ac:dyDescent="0.2">
      <c r="E145" s="57"/>
    </row>
    <row r="146" spans="5:5" ht="12.75" x14ac:dyDescent="0.2">
      <c r="E146" s="57"/>
    </row>
    <row r="147" spans="5:5" ht="12.75" x14ac:dyDescent="0.2">
      <c r="E147" s="57"/>
    </row>
    <row r="148" spans="5:5" ht="12.75" x14ac:dyDescent="0.2">
      <c r="E148" s="57"/>
    </row>
    <row r="149" spans="5:5" ht="12.75" x14ac:dyDescent="0.2">
      <c r="E149" s="57"/>
    </row>
    <row r="150" spans="5:5" ht="12.75" x14ac:dyDescent="0.2">
      <c r="E150" s="57"/>
    </row>
    <row r="151" spans="5:5" ht="12.75" x14ac:dyDescent="0.2">
      <c r="E151" s="57"/>
    </row>
    <row r="152" spans="5:5" ht="12.75" x14ac:dyDescent="0.2">
      <c r="E152" s="57"/>
    </row>
    <row r="153" spans="5:5" ht="12.75" x14ac:dyDescent="0.2">
      <c r="E153" s="57"/>
    </row>
    <row r="154" spans="5:5" ht="12.75" x14ac:dyDescent="0.2">
      <c r="E154" s="57"/>
    </row>
    <row r="155" spans="5:5" ht="12.75" x14ac:dyDescent="0.2">
      <c r="E155" s="57"/>
    </row>
    <row r="156" spans="5:5" ht="12.75" x14ac:dyDescent="0.2">
      <c r="E156" s="57"/>
    </row>
    <row r="157" spans="5:5" ht="12.75" x14ac:dyDescent="0.2">
      <c r="E157" s="57"/>
    </row>
    <row r="158" spans="5:5" ht="12.75" x14ac:dyDescent="0.2">
      <c r="E158" s="57"/>
    </row>
    <row r="159" spans="5:5" ht="12.75" x14ac:dyDescent="0.2">
      <c r="E159" s="57"/>
    </row>
    <row r="160" spans="5:5" ht="12.75" x14ac:dyDescent="0.2">
      <c r="E160" s="57"/>
    </row>
    <row r="161" spans="5:5" ht="12.75" x14ac:dyDescent="0.2">
      <c r="E161" s="57"/>
    </row>
    <row r="162" spans="5:5" ht="12.75" x14ac:dyDescent="0.2">
      <c r="E162" s="57"/>
    </row>
    <row r="163" spans="5:5" ht="12.75" x14ac:dyDescent="0.2">
      <c r="E163" s="57"/>
    </row>
    <row r="164" spans="5:5" ht="12.75" x14ac:dyDescent="0.2">
      <c r="E164" s="57"/>
    </row>
    <row r="165" spans="5:5" ht="12.75" x14ac:dyDescent="0.2">
      <c r="E165" s="57"/>
    </row>
    <row r="166" spans="5:5" ht="12.75" x14ac:dyDescent="0.2">
      <c r="E166" s="57"/>
    </row>
    <row r="167" spans="5:5" ht="12.75" x14ac:dyDescent="0.2">
      <c r="E167" s="57"/>
    </row>
    <row r="168" spans="5:5" ht="12.75" x14ac:dyDescent="0.2">
      <c r="E168" s="57"/>
    </row>
    <row r="169" spans="5:5" ht="12.75" x14ac:dyDescent="0.2">
      <c r="E169" s="57"/>
    </row>
    <row r="170" spans="5:5" ht="12.75" x14ac:dyDescent="0.2">
      <c r="E170" s="57"/>
    </row>
    <row r="171" spans="5:5" ht="12.75" x14ac:dyDescent="0.2">
      <c r="E171" s="57"/>
    </row>
    <row r="172" spans="5:5" ht="12.75" x14ac:dyDescent="0.2">
      <c r="E172" s="57"/>
    </row>
    <row r="173" spans="5:5" ht="12.75" x14ac:dyDescent="0.2">
      <c r="E173" s="57"/>
    </row>
    <row r="174" spans="5:5" ht="12.75" x14ac:dyDescent="0.2">
      <c r="E174" s="57"/>
    </row>
    <row r="175" spans="5:5" ht="12.75" x14ac:dyDescent="0.2">
      <c r="E175" s="57"/>
    </row>
    <row r="176" spans="5:5" ht="12.75" x14ac:dyDescent="0.2">
      <c r="E176" s="57"/>
    </row>
    <row r="177" spans="5:5" ht="12.75" x14ac:dyDescent="0.2">
      <c r="E177" s="57"/>
    </row>
    <row r="178" spans="5:5" ht="12.75" x14ac:dyDescent="0.2">
      <c r="E178" s="57"/>
    </row>
    <row r="179" spans="5:5" ht="12.75" x14ac:dyDescent="0.2">
      <c r="E179" s="57"/>
    </row>
    <row r="180" spans="5:5" ht="12.75" x14ac:dyDescent="0.2">
      <c r="E180" s="57"/>
    </row>
    <row r="181" spans="5:5" ht="12.75" x14ac:dyDescent="0.2">
      <c r="E181" s="57"/>
    </row>
    <row r="182" spans="5:5" ht="12.75" x14ac:dyDescent="0.2">
      <c r="E182" s="57"/>
    </row>
    <row r="183" spans="5:5" ht="12.75" x14ac:dyDescent="0.2">
      <c r="E183" s="57"/>
    </row>
    <row r="184" spans="5:5" ht="12.75" x14ac:dyDescent="0.2">
      <c r="E184" s="57"/>
    </row>
    <row r="185" spans="5:5" ht="12.75" x14ac:dyDescent="0.2">
      <c r="E185" s="57"/>
    </row>
    <row r="186" spans="5:5" ht="12.75" x14ac:dyDescent="0.2">
      <c r="E186" s="57"/>
    </row>
    <row r="187" spans="5:5" ht="12.75" x14ac:dyDescent="0.2">
      <c r="E187" s="57"/>
    </row>
    <row r="188" spans="5:5" ht="12.75" x14ac:dyDescent="0.2">
      <c r="E188" s="57"/>
    </row>
    <row r="189" spans="5:5" ht="12.75" x14ac:dyDescent="0.2">
      <c r="E189" s="57"/>
    </row>
    <row r="190" spans="5:5" ht="12.75" x14ac:dyDescent="0.2">
      <c r="E190" s="57"/>
    </row>
    <row r="191" spans="5:5" ht="12.75" x14ac:dyDescent="0.2">
      <c r="E191" s="57"/>
    </row>
    <row r="192" spans="5:5" ht="12.75" x14ac:dyDescent="0.2">
      <c r="E192" s="57"/>
    </row>
    <row r="193" spans="5:5" ht="12.75" x14ac:dyDescent="0.2">
      <c r="E193" s="57"/>
    </row>
    <row r="194" spans="5:5" ht="12.75" x14ac:dyDescent="0.2">
      <c r="E194" s="57"/>
    </row>
    <row r="195" spans="5:5" ht="12.75" x14ac:dyDescent="0.2">
      <c r="E195" s="57"/>
    </row>
    <row r="196" spans="5:5" ht="12.75" x14ac:dyDescent="0.2">
      <c r="E196" s="57"/>
    </row>
    <row r="197" spans="5:5" ht="12.75" x14ac:dyDescent="0.2">
      <c r="E197" s="57"/>
    </row>
    <row r="198" spans="5:5" ht="12.75" x14ac:dyDescent="0.2">
      <c r="E198" s="57"/>
    </row>
    <row r="199" spans="5:5" ht="12.75" x14ac:dyDescent="0.2">
      <c r="E199" s="57"/>
    </row>
    <row r="200" spans="5:5" ht="12.75" x14ac:dyDescent="0.2">
      <c r="E200" s="57"/>
    </row>
    <row r="201" spans="5:5" ht="12.75" x14ac:dyDescent="0.2">
      <c r="E201" s="57"/>
    </row>
    <row r="202" spans="5:5" ht="12.75" x14ac:dyDescent="0.2">
      <c r="E202" s="57"/>
    </row>
    <row r="203" spans="5:5" ht="12.75" x14ac:dyDescent="0.2">
      <c r="E203" s="57"/>
    </row>
    <row r="204" spans="5:5" ht="12.75" x14ac:dyDescent="0.2">
      <c r="E204" s="57"/>
    </row>
    <row r="205" spans="5:5" ht="12.75" x14ac:dyDescent="0.2">
      <c r="E205" s="57"/>
    </row>
    <row r="206" spans="5:5" ht="12.75" x14ac:dyDescent="0.2">
      <c r="E206" s="57"/>
    </row>
    <row r="207" spans="5:5" ht="12.75" x14ac:dyDescent="0.2">
      <c r="E207" s="57"/>
    </row>
    <row r="208" spans="5:5" ht="12.75" x14ac:dyDescent="0.2">
      <c r="E208" s="57"/>
    </row>
    <row r="209" spans="5:5" ht="12.75" x14ac:dyDescent="0.2">
      <c r="E209" s="57"/>
    </row>
    <row r="210" spans="5:5" ht="12.75" x14ac:dyDescent="0.2">
      <c r="E210" s="57"/>
    </row>
    <row r="211" spans="5:5" ht="12.75" x14ac:dyDescent="0.2">
      <c r="E211" s="57"/>
    </row>
    <row r="212" spans="5:5" ht="12.75" x14ac:dyDescent="0.2">
      <c r="E212" s="57"/>
    </row>
    <row r="213" spans="5:5" ht="12.75" x14ac:dyDescent="0.2">
      <c r="E213" s="57"/>
    </row>
    <row r="214" spans="5:5" ht="12.75" x14ac:dyDescent="0.2">
      <c r="E214" s="57"/>
    </row>
    <row r="215" spans="5:5" ht="12.75" x14ac:dyDescent="0.2">
      <c r="E215" s="57"/>
    </row>
    <row r="216" spans="5:5" ht="12.75" x14ac:dyDescent="0.2">
      <c r="E216" s="57"/>
    </row>
    <row r="217" spans="5:5" ht="12.75" x14ac:dyDescent="0.2">
      <c r="E217" s="57"/>
    </row>
    <row r="218" spans="5:5" ht="12.75" x14ac:dyDescent="0.2">
      <c r="E218" s="57"/>
    </row>
    <row r="219" spans="5:5" ht="12.75" x14ac:dyDescent="0.2">
      <c r="E219" s="57"/>
    </row>
    <row r="220" spans="5:5" ht="12.75" x14ac:dyDescent="0.2">
      <c r="E220" s="57"/>
    </row>
    <row r="221" spans="5:5" ht="12.75" x14ac:dyDescent="0.2">
      <c r="E221" s="57"/>
    </row>
    <row r="222" spans="5:5" ht="12.75" x14ac:dyDescent="0.2">
      <c r="E222" s="57"/>
    </row>
    <row r="223" spans="5:5" ht="12.75" x14ac:dyDescent="0.2">
      <c r="E223" s="57"/>
    </row>
    <row r="224" spans="5:5" ht="12.75" x14ac:dyDescent="0.2">
      <c r="E224" s="57"/>
    </row>
    <row r="225" spans="5:5" ht="12.75" x14ac:dyDescent="0.2">
      <c r="E225" s="57"/>
    </row>
    <row r="226" spans="5:5" ht="12.75" x14ac:dyDescent="0.2">
      <c r="E226" s="57"/>
    </row>
    <row r="227" spans="5:5" ht="12.75" x14ac:dyDescent="0.2">
      <c r="E227" s="57"/>
    </row>
    <row r="228" spans="5:5" ht="12.75" x14ac:dyDescent="0.2">
      <c r="E228" s="57"/>
    </row>
    <row r="229" spans="5:5" ht="12.75" x14ac:dyDescent="0.2">
      <c r="E229" s="57"/>
    </row>
    <row r="230" spans="5:5" ht="12.75" x14ac:dyDescent="0.2">
      <c r="E230" s="57"/>
    </row>
    <row r="231" spans="5:5" ht="12.75" x14ac:dyDescent="0.2">
      <c r="E231" s="57"/>
    </row>
    <row r="232" spans="5:5" ht="12.75" x14ac:dyDescent="0.2">
      <c r="E232" s="57"/>
    </row>
    <row r="233" spans="5:5" ht="12.75" x14ac:dyDescent="0.2">
      <c r="E233" s="57"/>
    </row>
    <row r="234" spans="5:5" ht="12.75" x14ac:dyDescent="0.2">
      <c r="E234" s="57"/>
    </row>
    <row r="235" spans="5:5" ht="12.75" x14ac:dyDescent="0.2">
      <c r="E235" s="57"/>
    </row>
    <row r="236" spans="5:5" ht="12.75" x14ac:dyDescent="0.2">
      <c r="E236" s="57"/>
    </row>
    <row r="237" spans="5:5" ht="12.75" x14ac:dyDescent="0.2">
      <c r="E237" s="57"/>
    </row>
    <row r="238" spans="5:5" ht="12.75" x14ac:dyDescent="0.2">
      <c r="E238" s="57"/>
    </row>
    <row r="239" spans="5:5" ht="12.75" x14ac:dyDescent="0.2">
      <c r="E239" s="57"/>
    </row>
    <row r="240" spans="5:5" ht="12.75" x14ac:dyDescent="0.2">
      <c r="E240" s="57"/>
    </row>
    <row r="241" spans="5:5" ht="12.75" x14ac:dyDescent="0.2">
      <c r="E241" s="57"/>
    </row>
    <row r="242" spans="5:5" ht="12.75" x14ac:dyDescent="0.2">
      <c r="E242" s="57"/>
    </row>
    <row r="243" spans="5:5" ht="12.75" x14ac:dyDescent="0.2">
      <c r="E243" s="57"/>
    </row>
    <row r="244" spans="5:5" ht="12.75" x14ac:dyDescent="0.2">
      <c r="E244" s="57"/>
    </row>
    <row r="245" spans="5:5" ht="12.75" x14ac:dyDescent="0.2">
      <c r="E245" s="57"/>
    </row>
    <row r="246" spans="5:5" ht="12.75" x14ac:dyDescent="0.2">
      <c r="E246" s="57"/>
    </row>
    <row r="247" spans="5:5" ht="12.75" x14ac:dyDescent="0.2">
      <c r="E247" s="57"/>
    </row>
    <row r="248" spans="5:5" ht="12.75" x14ac:dyDescent="0.2">
      <c r="E248" s="57"/>
    </row>
    <row r="249" spans="5:5" ht="12.75" x14ac:dyDescent="0.2">
      <c r="E249" s="57"/>
    </row>
    <row r="250" spans="5:5" ht="12.75" x14ac:dyDescent="0.2">
      <c r="E250" s="57"/>
    </row>
    <row r="251" spans="5:5" ht="12.75" x14ac:dyDescent="0.2">
      <c r="E251" s="57"/>
    </row>
    <row r="252" spans="5:5" ht="12.75" x14ac:dyDescent="0.2">
      <c r="E252" s="57"/>
    </row>
    <row r="253" spans="5:5" ht="12.75" x14ac:dyDescent="0.2">
      <c r="E253" s="57"/>
    </row>
    <row r="254" spans="5:5" ht="12.75" x14ac:dyDescent="0.2">
      <c r="E254" s="57"/>
    </row>
    <row r="255" spans="5:5" ht="12.75" x14ac:dyDescent="0.2">
      <c r="E255" s="57"/>
    </row>
    <row r="256" spans="5:5" ht="12.75" x14ac:dyDescent="0.2">
      <c r="E256" s="57"/>
    </row>
    <row r="257" spans="5:5" ht="12.75" x14ac:dyDescent="0.2">
      <c r="E257" s="57"/>
    </row>
    <row r="258" spans="5:5" ht="12.75" x14ac:dyDescent="0.2">
      <c r="E258" s="57"/>
    </row>
    <row r="259" spans="5:5" ht="12.75" x14ac:dyDescent="0.2">
      <c r="E259" s="57"/>
    </row>
    <row r="260" spans="5:5" ht="12.75" x14ac:dyDescent="0.2">
      <c r="E260" s="57"/>
    </row>
    <row r="261" spans="5:5" ht="12.75" x14ac:dyDescent="0.2">
      <c r="E261" s="57"/>
    </row>
    <row r="262" spans="5:5" ht="12.75" x14ac:dyDescent="0.2">
      <c r="E262" s="57"/>
    </row>
    <row r="263" spans="5:5" ht="12.75" x14ac:dyDescent="0.2">
      <c r="E263" s="57"/>
    </row>
    <row r="264" spans="5:5" ht="12.75" x14ac:dyDescent="0.2">
      <c r="E264" s="57"/>
    </row>
    <row r="265" spans="5:5" ht="12.75" x14ac:dyDescent="0.2">
      <c r="E265" s="57"/>
    </row>
    <row r="266" spans="5:5" ht="12.75" x14ac:dyDescent="0.2">
      <c r="E266" s="57"/>
    </row>
    <row r="267" spans="5:5" ht="12.75" x14ac:dyDescent="0.2">
      <c r="E267" s="57"/>
    </row>
    <row r="268" spans="5:5" ht="12.75" x14ac:dyDescent="0.2">
      <c r="E268" s="57"/>
    </row>
    <row r="269" spans="5:5" ht="12.75" x14ac:dyDescent="0.2">
      <c r="E269" s="57"/>
    </row>
    <row r="270" spans="5:5" ht="12.75" x14ac:dyDescent="0.2">
      <c r="E270" s="57"/>
    </row>
    <row r="271" spans="5:5" ht="12.75" x14ac:dyDescent="0.2">
      <c r="E271" s="57"/>
    </row>
    <row r="272" spans="5:5" ht="12.75" x14ac:dyDescent="0.2">
      <c r="E272" s="57"/>
    </row>
    <row r="273" spans="5:5" ht="12.75" x14ac:dyDescent="0.2">
      <c r="E273" s="57"/>
    </row>
    <row r="274" spans="5:5" ht="12.75" x14ac:dyDescent="0.2">
      <c r="E274" s="57"/>
    </row>
    <row r="275" spans="5:5" ht="12.75" x14ac:dyDescent="0.2">
      <c r="E275" s="57"/>
    </row>
    <row r="276" spans="5:5" ht="12.75" x14ac:dyDescent="0.2">
      <c r="E276" s="57"/>
    </row>
    <row r="277" spans="5:5" ht="12.75" x14ac:dyDescent="0.2">
      <c r="E277" s="57"/>
    </row>
    <row r="278" spans="5:5" ht="12.75" x14ac:dyDescent="0.2">
      <c r="E278" s="57"/>
    </row>
    <row r="279" spans="5:5" ht="12.75" x14ac:dyDescent="0.2">
      <c r="E279" s="57"/>
    </row>
    <row r="280" spans="5:5" ht="12.75" x14ac:dyDescent="0.2">
      <c r="E280" s="57"/>
    </row>
    <row r="281" spans="5:5" ht="12.75" x14ac:dyDescent="0.2">
      <c r="E281" s="57"/>
    </row>
    <row r="282" spans="5:5" ht="12.75" x14ac:dyDescent="0.2">
      <c r="E282" s="57"/>
    </row>
    <row r="283" spans="5:5" ht="12.75" x14ac:dyDescent="0.2">
      <c r="E283" s="57"/>
    </row>
    <row r="284" spans="5:5" ht="12.75" x14ac:dyDescent="0.2">
      <c r="E284" s="57"/>
    </row>
    <row r="285" spans="5:5" ht="12.75" x14ac:dyDescent="0.2">
      <c r="E285" s="57"/>
    </row>
    <row r="286" spans="5:5" ht="12.75" x14ac:dyDescent="0.2">
      <c r="E286" s="57"/>
    </row>
    <row r="287" spans="5:5" ht="12.75" x14ac:dyDescent="0.2">
      <c r="E287" s="57"/>
    </row>
    <row r="288" spans="5:5" ht="12.75" x14ac:dyDescent="0.2">
      <c r="E288" s="57"/>
    </row>
    <row r="289" spans="5:5" ht="12.75" x14ac:dyDescent="0.2">
      <c r="E289" s="57"/>
    </row>
    <row r="290" spans="5:5" ht="12.75" x14ac:dyDescent="0.2">
      <c r="E290" s="57"/>
    </row>
    <row r="291" spans="5:5" ht="12.75" x14ac:dyDescent="0.2">
      <c r="E291" s="57"/>
    </row>
    <row r="292" spans="5:5" ht="12.75" x14ac:dyDescent="0.2">
      <c r="E292" s="57"/>
    </row>
    <row r="293" spans="5:5" ht="12.75" x14ac:dyDescent="0.2">
      <c r="E293" s="57"/>
    </row>
    <row r="294" spans="5:5" ht="12.75" x14ac:dyDescent="0.2">
      <c r="E294" s="57"/>
    </row>
    <row r="295" spans="5:5" ht="12.75" x14ac:dyDescent="0.2">
      <c r="E295" s="57"/>
    </row>
    <row r="296" spans="5:5" ht="12.75" x14ac:dyDescent="0.2">
      <c r="E296" s="57"/>
    </row>
    <row r="297" spans="5:5" ht="12.75" x14ac:dyDescent="0.2">
      <c r="E297" s="57"/>
    </row>
    <row r="298" spans="5:5" ht="12.75" x14ac:dyDescent="0.2">
      <c r="E298" s="57"/>
    </row>
    <row r="299" spans="5:5" ht="12.75" x14ac:dyDescent="0.2">
      <c r="E299" s="57"/>
    </row>
    <row r="300" spans="5:5" ht="12.75" x14ac:dyDescent="0.2">
      <c r="E300" s="57"/>
    </row>
    <row r="301" spans="5:5" ht="12.75" x14ac:dyDescent="0.2">
      <c r="E301" s="57"/>
    </row>
    <row r="302" spans="5:5" ht="12.75" x14ac:dyDescent="0.2">
      <c r="E302" s="57"/>
    </row>
    <row r="303" spans="5:5" ht="12.75" x14ac:dyDescent="0.2">
      <c r="E303" s="57"/>
    </row>
    <row r="304" spans="5:5" ht="12.75" x14ac:dyDescent="0.2">
      <c r="E304" s="57"/>
    </row>
    <row r="305" spans="5:5" ht="12.75" x14ac:dyDescent="0.2">
      <c r="E305" s="57"/>
    </row>
    <row r="306" spans="5:5" ht="12.75" x14ac:dyDescent="0.2">
      <c r="E306" s="57"/>
    </row>
    <row r="307" spans="5:5" ht="12.75" x14ac:dyDescent="0.2">
      <c r="E307" s="57"/>
    </row>
    <row r="308" spans="5:5" ht="12.75" x14ac:dyDescent="0.2">
      <c r="E308" s="57"/>
    </row>
    <row r="309" spans="5:5" ht="12.75" x14ac:dyDescent="0.2">
      <c r="E309" s="57"/>
    </row>
    <row r="310" spans="5:5" ht="12.75" x14ac:dyDescent="0.2">
      <c r="E310" s="57"/>
    </row>
    <row r="311" spans="5:5" ht="12.75" x14ac:dyDescent="0.2">
      <c r="E311" s="57"/>
    </row>
    <row r="312" spans="5:5" ht="12.75" x14ac:dyDescent="0.2">
      <c r="E312" s="57"/>
    </row>
    <row r="313" spans="5:5" ht="12.75" x14ac:dyDescent="0.2">
      <c r="E313" s="57"/>
    </row>
    <row r="314" spans="5:5" ht="12.75" x14ac:dyDescent="0.2">
      <c r="E314" s="57"/>
    </row>
    <row r="315" spans="5:5" ht="12.75" x14ac:dyDescent="0.2">
      <c r="E315" s="57"/>
    </row>
    <row r="316" spans="5:5" ht="12.75" x14ac:dyDescent="0.2">
      <c r="E316" s="57"/>
    </row>
    <row r="317" spans="5:5" ht="12.75" x14ac:dyDescent="0.2">
      <c r="E317" s="57"/>
    </row>
    <row r="318" spans="5:5" ht="12.75" x14ac:dyDescent="0.2">
      <c r="E318" s="57"/>
    </row>
    <row r="319" spans="5:5" ht="12.75" x14ac:dyDescent="0.2">
      <c r="E319" s="57"/>
    </row>
    <row r="320" spans="5:5" ht="12.75" x14ac:dyDescent="0.2">
      <c r="E320" s="57"/>
    </row>
    <row r="321" spans="5:5" ht="12.75" x14ac:dyDescent="0.2">
      <c r="E321" s="57"/>
    </row>
    <row r="322" spans="5:5" ht="12.75" x14ac:dyDescent="0.2">
      <c r="E322" s="57"/>
    </row>
    <row r="323" spans="5:5" ht="12.75" x14ac:dyDescent="0.2">
      <c r="E323" s="57"/>
    </row>
    <row r="324" spans="5:5" ht="12.75" x14ac:dyDescent="0.2">
      <c r="E324" s="57"/>
    </row>
    <row r="325" spans="5:5" ht="12.75" x14ac:dyDescent="0.2">
      <c r="E325" s="57"/>
    </row>
    <row r="326" spans="5:5" ht="12.75" x14ac:dyDescent="0.2">
      <c r="E326" s="57"/>
    </row>
    <row r="327" spans="5:5" ht="12.75" x14ac:dyDescent="0.2">
      <c r="E327" s="57"/>
    </row>
    <row r="328" spans="5:5" ht="12.75" x14ac:dyDescent="0.2">
      <c r="E328" s="57"/>
    </row>
    <row r="329" spans="5:5" ht="12.75" x14ac:dyDescent="0.2">
      <c r="E329" s="57"/>
    </row>
    <row r="330" spans="5:5" ht="12.75" x14ac:dyDescent="0.2">
      <c r="E330" s="57"/>
    </row>
    <row r="331" spans="5:5" ht="12.75" x14ac:dyDescent="0.2">
      <c r="E331" s="57"/>
    </row>
    <row r="332" spans="5:5" ht="12.75" x14ac:dyDescent="0.2">
      <c r="E332" s="57"/>
    </row>
    <row r="333" spans="5:5" ht="12.75" x14ac:dyDescent="0.2">
      <c r="E333" s="57"/>
    </row>
    <row r="334" spans="5:5" ht="12.75" x14ac:dyDescent="0.2">
      <c r="E334" s="57"/>
    </row>
    <row r="335" spans="5:5" ht="12.75" x14ac:dyDescent="0.2">
      <c r="E335" s="57"/>
    </row>
    <row r="336" spans="5:5" ht="12.75" x14ac:dyDescent="0.2">
      <c r="E336" s="57"/>
    </row>
    <row r="337" spans="5:5" ht="12.75" x14ac:dyDescent="0.2">
      <c r="E337" s="57"/>
    </row>
    <row r="338" spans="5:5" ht="12.75" x14ac:dyDescent="0.2">
      <c r="E338" s="57"/>
    </row>
    <row r="339" spans="5:5" ht="12.75" x14ac:dyDescent="0.2">
      <c r="E339" s="57"/>
    </row>
    <row r="340" spans="5:5" ht="12.75" x14ac:dyDescent="0.2">
      <c r="E340" s="57"/>
    </row>
    <row r="341" spans="5:5" ht="12.75" x14ac:dyDescent="0.2">
      <c r="E341" s="57"/>
    </row>
    <row r="342" spans="5:5" ht="12.75" x14ac:dyDescent="0.2">
      <c r="E342" s="57"/>
    </row>
    <row r="343" spans="5:5" ht="12.75" x14ac:dyDescent="0.2">
      <c r="E343" s="57"/>
    </row>
    <row r="344" spans="5:5" ht="12.75" x14ac:dyDescent="0.2">
      <c r="E344" s="57"/>
    </row>
    <row r="345" spans="5:5" ht="12.75" x14ac:dyDescent="0.2">
      <c r="E345" s="57"/>
    </row>
    <row r="346" spans="5:5" ht="12.75" x14ac:dyDescent="0.2">
      <c r="E346" s="57"/>
    </row>
    <row r="347" spans="5:5" ht="12.75" x14ac:dyDescent="0.2">
      <c r="E347" s="57"/>
    </row>
    <row r="348" spans="5:5" ht="12.75" x14ac:dyDescent="0.2">
      <c r="E348" s="57"/>
    </row>
    <row r="349" spans="5:5" ht="12.75" x14ac:dyDescent="0.2">
      <c r="E349" s="57"/>
    </row>
    <row r="350" spans="5:5" ht="12.75" x14ac:dyDescent="0.2">
      <c r="E350" s="57"/>
    </row>
    <row r="351" spans="5:5" ht="12.75" x14ac:dyDescent="0.2">
      <c r="E351" s="57"/>
    </row>
    <row r="352" spans="5:5" ht="12.75" x14ac:dyDescent="0.2">
      <c r="E352" s="57"/>
    </row>
    <row r="353" spans="5:5" ht="12.75" x14ac:dyDescent="0.2">
      <c r="E353" s="57"/>
    </row>
    <row r="354" spans="5:5" ht="12.75" x14ac:dyDescent="0.2">
      <c r="E354" s="57"/>
    </row>
    <row r="355" spans="5:5" ht="12.75" x14ac:dyDescent="0.2">
      <c r="E355" s="57"/>
    </row>
    <row r="356" spans="5:5" ht="12.75" x14ac:dyDescent="0.2">
      <c r="E356" s="57"/>
    </row>
    <row r="357" spans="5:5" ht="12.75" x14ac:dyDescent="0.2">
      <c r="E357" s="57"/>
    </row>
    <row r="358" spans="5:5" ht="12.75" x14ac:dyDescent="0.2">
      <c r="E358" s="57"/>
    </row>
    <row r="359" spans="5:5" ht="12.75" x14ac:dyDescent="0.2">
      <c r="E359" s="57"/>
    </row>
    <row r="360" spans="5:5" ht="12.75" x14ac:dyDescent="0.2">
      <c r="E360" s="57"/>
    </row>
    <row r="361" spans="5:5" ht="12.75" x14ac:dyDescent="0.2">
      <c r="E361" s="57"/>
    </row>
    <row r="362" spans="5:5" ht="12.75" x14ac:dyDescent="0.2">
      <c r="E362" s="57"/>
    </row>
    <row r="363" spans="5:5" ht="12.75" x14ac:dyDescent="0.2">
      <c r="E363" s="57"/>
    </row>
    <row r="364" spans="5:5" ht="12.75" x14ac:dyDescent="0.2">
      <c r="E364" s="57"/>
    </row>
    <row r="365" spans="5:5" ht="12.75" x14ac:dyDescent="0.2">
      <c r="E365" s="57"/>
    </row>
    <row r="366" spans="5:5" ht="12.75" x14ac:dyDescent="0.2">
      <c r="E366" s="57"/>
    </row>
    <row r="367" spans="5:5" ht="12.75" x14ac:dyDescent="0.2">
      <c r="E367" s="57"/>
    </row>
    <row r="368" spans="5:5" ht="12.75" x14ac:dyDescent="0.2">
      <c r="E368" s="57"/>
    </row>
    <row r="369" spans="5:5" ht="12.75" x14ac:dyDescent="0.2">
      <c r="E369" s="57"/>
    </row>
    <row r="370" spans="5:5" ht="12.75" x14ac:dyDescent="0.2">
      <c r="E370" s="57"/>
    </row>
    <row r="371" spans="5:5" ht="12.75" x14ac:dyDescent="0.2">
      <c r="E371" s="57"/>
    </row>
    <row r="372" spans="5:5" ht="12.75" x14ac:dyDescent="0.2">
      <c r="E372" s="57"/>
    </row>
    <row r="373" spans="5:5" ht="12.75" x14ac:dyDescent="0.2">
      <c r="E373" s="57"/>
    </row>
    <row r="374" spans="5:5" ht="12.75" x14ac:dyDescent="0.2">
      <c r="E374" s="57"/>
    </row>
    <row r="375" spans="5:5" ht="12.75" x14ac:dyDescent="0.2">
      <c r="E375" s="57"/>
    </row>
    <row r="376" spans="5:5" ht="12.75" x14ac:dyDescent="0.2">
      <c r="E376" s="57"/>
    </row>
    <row r="377" spans="5:5" ht="12.75" x14ac:dyDescent="0.2">
      <c r="E377" s="57"/>
    </row>
    <row r="378" spans="5:5" ht="12.75" x14ac:dyDescent="0.2">
      <c r="E378" s="57"/>
    </row>
    <row r="379" spans="5:5" ht="12.75" x14ac:dyDescent="0.2">
      <c r="E379" s="57"/>
    </row>
    <row r="380" spans="5:5" ht="12.75" x14ac:dyDescent="0.2">
      <c r="E380" s="57"/>
    </row>
    <row r="381" spans="5:5" ht="12.75" x14ac:dyDescent="0.2">
      <c r="E381" s="57"/>
    </row>
    <row r="382" spans="5:5" ht="12.75" x14ac:dyDescent="0.2">
      <c r="E382" s="57"/>
    </row>
    <row r="383" spans="5:5" ht="12.75" x14ac:dyDescent="0.2">
      <c r="E383" s="57"/>
    </row>
    <row r="384" spans="5:5" ht="12.75" x14ac:dyDescent="0.2">
      <c r="E384" s="57"/>
    </row>
    <row r="385" spans="5:5" ht="12.75" x14ac:dyDescent="0.2">
      <c r="E385" s="57"/>
    </row>
    <row r="386" spans="5:5" ht="12.75" x14ac:dyDescent="0.2">
      <c r="E386" s="57"/>
    </row>
    <row r="387" spans="5:5" ht="12.75" x14ac:dyDescent="0.2">
      <c r="E387" s="57"/>
    </row>
    <row r="388" spans="5:5" ht="12.75" x14ac:dyDescent="0.2">
      <c r="E388" s="57"/>
    </row>
    <row r="389" spans="5:5" ht="12.75" x14ac:dyDescent="0.2">
      <c r="E389" s="57"/>
    </row>
    <row r="390" spans="5:5" ht="12.75" x14ac:dyDescent="0.2">
      <c r="E390" s="57"/>
    </row>
    <row r="391" spans="5:5" ht="12.75" x14ac:dyDescent="0.2">
      <c r="E391" s="57"/>
    </row>
    <row r="392" spans="5:5" ht="12.75" x14ac:dyDescent="0.2">
      <c r="E392" s="57"/>
    </row>
    <row r="393" spans="5:5" ht="12.75" x14ac:dyDescent="0.2">
      <c r="E393" s="57"/>
    </row>
    <row r="394" spans="5:5" ht="12.75" x14ac:dyDescent="0.2">
      <c r="E394" s="57"/>
    </row>
    <row r="395" spans="5:5" ht="12.75" x14ac:dyDescent="0.2">
      <c r="E395" s="57"/>
    </row>
    <row r="396" spans="5:5" ht="12.75" x14ac:dyDescent="0.2">
      <c r="E396" s="57"/>
    </row>
    <row r="397" spans="5:5" ht="12.75" x14ac:dyDescent="0.2">
      <c r="E397" s="57"/>
    </row>
    <row r="398" spans="5:5" ht="12.75" x14ac:dyDescent="0.2">
      <c r="E398" s="57"/>
    </row>
    <row r="399" spans="5:5" ht="12.75" x14ac:dyDescent="0.2">
      <c r="E399" s="57"/>
    </row>
    <row r="400" spans="5:5" ht="12.75" x14ac:dyDescent="0.2">
      <c r="E400" s="57"/>
    </row>
    <row r="401" spans="5:5" ht="12.75" x14ac:dyDescent="0.2">
      <c r="E401" s="57"/>
    </row>
    <row r="402" spans="5:5" ht="12.75" x14ac:dyDescent="0.2">
      <c r="E402" s="57"/>
    </row>
    <row r="403" spans="5:5" ht="12.75" x14ac:dyDescent="0.2">
      <c r="E403" s="57"/>
    </row>
    <row r="404" spans="5:5" ht="12.75" x14ac:dyDescent="0.2">
      <c r="E404" s="57"/>
    </row>
    <row r="405" spans="5:5" ht="12.75" x14ac:dyDescent="0.2">
      <c r="E405" s="57"/>
    </row>
    <row r="406" spans="5:5" ht="12.75" x14ac:dyDescent="0.2">
      <c r="E406" s="57"/>
    </row>
    <row r="407" spans="5:5" ht="12.75" x14ac:dyDescent="0.2">
      <c r="E407" s="57"/>
    </row>
    <row r="408" spans="5:5" ht="12.75" x14ac:dyDescent="0.2">
      <c r="E408" s="57"/>
    </row>
    <row r="409" spans="5:5" ht="12.75" x14ac:dyDescent="0.2">
      <c r="E409" s="57"/>
    </row>
    <row r="410" spans="5:5" ht="12.75" x14ac:dyDescent="0.2">
      <c r="E410" s="57"/>
    </row>
    <row r="411" spans="5:5" ht="12.75" x14ac:dyDescent="0.2">
      <c r="E411" s="57"/>
    </row>
    <row r="412" spans="5:5" ht="12.75" x14ac:dyDescent="0.2">
      <c r="E412" s="57"/>
    </row>
    <row r="413" spans="5:5" ht="12.75" x14ac:dyDescent="0.2">
      <c r="E413" s="57"/>
    </row>
    <row r="414" spans="5:5" ht="12.75" x14ac:dyDescent="0.2">
      <c r="E414" s="57"/>
    </row>
    <row r="415" spans="5:5" ht="12.75" x14ac:dyDescent="0.2">
      <c r="E415" s="57"/>
    </row>
    <row r="416" spans="5:5" ht="12.75" x14ac:dyDescent="0.2">
      <c r="E416" s="57"/>
    </row>
    <row r="417" spans="5:5" ht="12.75" x14ac:dyDescent="0.2">
      <c r="E417" s="57"/>
    </row>
    <row r="418" spans="5:5" ht="12.75" x14ac:dyDescent="0.2">
      <c r="E418" s="57"/>
    </row>
    <row r="419" spans="5:5" ht="12.75" x14ac:dyDescent="0.2">
      <c r="E419" s="57"/>
    </row>
    <row r="420" spans="5:5" ht="12.75" x14ac:dyDescent="0.2">
      <c r="E420" s="57"/>
    </row>
    <row r="421" spans="5:5" ht="12.75" x14ac:dyDescent="0.2">
      <c r="E421" s="57"/>
    </row>
    <row r="422" spans="5:5" ht="12.75" x14ac:dyDescent="0.2">
      <c r="E422" s="57"/>
    </row>
    <row r="423" spans="5:5" ht="12.75" x14ac:dyDescent="0.2">
      <c r="E423" s="57"/>
    </row>
    <row r="424" spans="5:5" ht="12.75" x14ac:dyDescent="0.2">
      <c r="E424" s="57"/>
    </row>
    <row r="425" spans="5:5" ht="12.75" x14ac:dyDescent="0.2">
      <c r="E425" s="57"/>
    </row>
    <row r="426" spans="5:5" ht="12.75" x14ac:dyDescent="0.2">
      <c r="E426" s="57"/>
    </row>
    <row r="427" spans="5:5" ht="12.75" x14ac:dyDescent="0.2">
      <c r="E427" s="57"/>
    </row>
    <row r="428" spans="5:5" ht="12.75" x14ac:dyDescent="0.2">
      <c r="E428" s="57"/>
    </row>
    <row r="429" spans="5:5" ht="12.75" x14ac:dyDescent="0.2">
      <c r="E429" s="57"/>
    </row>
    <row r="430" spans="5:5" ht="12.75" x14ac:dyDescent="0.2">
      <c r="E430" s="57"/>
    </row>
    <row r="431" spans="5:5" ht="12.75" x14ac:dyDescent="0.2">
      <c r="E431" s="57"/>
    </row>
    <row r="432" spans="5:5" ht="12.75" x14ac:dyDescent="0.2">
      <c r="E432" s="57"/>
    </row>
    <row r="433" spans="5:5" ht="12.75" x14ac:dyDescent="0.2">
      <c r="E433" s="57"/>
    </row>
    <row r="434" spans="5:5" ht="12.75" x14ac:dyDescent="0.2">
      <c r="E434" s="57"/>
    </row>
    <row r="435" spans="5:5" ht="12.75" x14ac:dyDescent="0.2">
      <c r="E435" s="57"/>
    </row>
    <row r="436" spans="5:5" ht="12.75" x14ac:dyDescent="0.2">
      <c r="E436" s="57"/>
    </row>
    <row r="437" spans="5:5" ht="12.75" x14ac:dyDescent="0.2">
      <c r="E437" s="57"/>
    </row>
    <row r="438" spans="5:5" ht="12.75" x14ac:dyDescent="0.2">
      <c r="E438" s="57"/>
    </row>
    <row r="439" spans="5:5" ht="12.75" x14ac:dyDescent="0.2">
      <c r="E439" s="57"/>
    </row>
    <row r="440" spans="5:5" ht="12.75" x14ac:dyDescent="0.2">
      <c r="E440" s="57"/>
    </row>
    <row r="441" spans="5:5" ht="12.75" x14ac:dyDescent="0.2">
      <c r="E441" s="57"/>
    </row>
    <row r="442" spans="5:5" ht="12.75" x14ac:dyDescent="0.2">
      <c r="E442" s="57"/>
    </row>
    <row r="443" spans="5:5" ht="12.75" x14ac:dyDescent="0.2">
      <c r="E443" s="57"/>
    </row>
    <row r="444" spans="5:5" ht="12.75" x14ac:dyDescent="0.2">
      <c r="E444" s="57"/>
    </row>
    <row r="445" spans="5:5" ht="12.75" x14ac:dyDescent="0.2">
      <c r="E445" s="57"/>
    </row>
    <row r="446" spans="5:5" ht="12.75" x14ac:dyDescent="0.2">
      <c r="E446" s="57"/>
    </row>
    <row r="447" spans="5:5" ht="12.75" x14ac:dyDescent="0.2">
      <c r="E447" s="57"/>
    </row>
    <row r="448" spans="5:5" ht="12.75" x14ac:dyDescent="0.2">
      <c r="E448" s="57"/>
    </row>
    <row r="449" spans="5:5" ht="12.75" x14ac:dyDescent="0.2">
      <c r="E449" s="57"/>
    </row>
    <row r="450" spans="5:5" ht="12.75" x14ac:dyDescent="0.2">
      <c r="E450" s="57"/>
    </row>
    <row r="451" spans="5:5" ht="12.75" x14ac:dyDescent="0.2">
      <c r="E451" s="57"/>
    </row>
    <row r="452" spans="5:5" ht="12.75" x14ac:dyDescent="0.2">
      <c r="E452" s="57"/>
    </row>
    <row r="453" spans="5:5" ht="12.75" x14ac:dyDescent="0.2">
      <c r="E453" s="57"/>
    </row>
    <row r="454" spans="5:5" ht="12.75" x14ac:dyDescent="0.2">
      <c r="E454" s="57"/>
    </row>
    <row r="455" spans="5:5" ht="12.75" x14ac:dyDescent="0.2">
      <c r="E455" s="57"/>
    </row>
    <row r="456" spans="5:5" ht="12.75" x14ac:dyDescent="0.2">
      <c r="E456" s="57"/>
    </row>
    <row r="457" spans="5:5" ht="12.75" x14ac:dyDescent="0.2">
      <c r="E457" s="57"/>
    </row>
    <row r="458" spans="5:5" ht="12.75" x14ac:dyDescent="0.2">
      <c r="E458" s="57"/>
    </row>
    <row r="459" spans="5:5" ht="12.75" x14ac:dyDescent="0.2">
      <c r="E459" s="57"/>
    </row>
    <row r="460" spans="5:5" ht="12.75" x14ac:dyDescent="0.2">
      <c r="E460" s="57"/>
    </row>
    <row r="461" spans="5:5" ht="12.75" x14ac:dyDescent="0.2">
      <c r="E461" s="57"/>
    </row>
    <row r="462" spans="5:5" ht="12.75" x14ac:dyDescent="0.2">
      <c r="E462" s="57"/>
    </row>
    <row r="463" spans="5:5" ht="12.75" x14ac:dyDescent="0.2">
      <c r="E463" s="57"/>
    </row>
    <row r="464" spans="5:5" ht="12.75" x14ac:dyDescent="0.2">
      <c r="E464" s="57"/>
    </row>
    <row r="465" spans="5:5" ht="12.75" x14ac:dyDescent="0.2">
      <c r="E465" s="57"/>
    </row>
    <row r="466" spans="5:5" ht="12.75" x14ac:dyDescent="0.2">
      <c r="E466" s="57"/>
    </row>
    <row r="467" spans="5:5" ht="12.75" x14ac:dyDescent="0.2">
      <c r="E467" s="57"/>
    </row>
    <row r="468" spans="5:5" ht="12.75" x14ac:dyDescent="0.2">
      <c r="E468" s="57"/>
    </row>
    <row r="469" spans="5:5" ht="12.75" x14ac:dyDescent="0.2">
      <c r="E469" s="57"/>
    </row>
    <row r="470" spans="5:5" ht="12.75" x14ac:dyDescent="0.2">
      <c r="E470" s="57"/>
    </row>
    <row r="471" spans="5:5" ht="12.75" x14ac:dyDescent="0.2">
      <c r="E471" s="57"/>
    </row>
    <row r="472" spans="5:5" ht="12.75" x14ac:dyDescent="0.2">
      <c r="E472" s="57"/>
    </row>
    <row r="473" spans="5:5" ht="12.75" x14ac:dyDescent="0.2">
      <c r="E473" s="57"/>
    </row>
    <row r="474" spans="5:5" ht="12.75" x14ac:dyDescent="0.2">
      <c r="E474" s="57"/>
    </row>
    <row r="475" spans="5:5" ht="12.75" x14ac:dyDescent="0.2">
      <c r="E475" s="57"/>
    </row>
    <row r="476" spans="5:5" ht="12.75" x14ac:dyDescent="0.2">
      <c r="E476" s="57"/>
    </row>
    <row r="477" spans="5:5" ht="12.75" x14ac:dyDescent="0.2">
      <c r="E477" s="57"/>
    </row>
    <row r="478" spans="5:5" ht="12.75" x14ac:dyDescent="0.2">
      <c r="E478" s="57"/>
    </row>
    <row r="479" spans="5:5" ht="12.75" x14ac:dyDescent="0.2">
      <c r="E479" s="57"/>
    </row>
    <row r="480" spans="5:5" ht="12.75" x14ac:dyDescent="0.2">
      <c r="E480" s="57"/>
    </row>
    <row r="481" spans="5:5" ht="12.75" x14ac:dyDescent="0.2">
      <c r="E481" s="57"/>
    </row>
    <row r="482" spans="5:5" ht="12.75" x14ac:dyDescent="0.2">
      <c r="E482" s="57"/>
    </row>
    <row r="483" spans="5:5" ht="12.75" x14ac:dyDescent="0.2">
      <c r="E483" s="57"/>
    </row>
    <row r="484" spans="5:5" ht="12.75" x14ac:dyDescent="0.2">
      <c r="E484" s="57"/>
    </row>
    <row r="485" spans="5:5" ht="12.75" x14ac:dyDescent="0.2">
      <c r="E485" s="57"/>
    </row>
    <row r="486" spans="5:5" ht="12.75" x14ac:dyDescent="0.2">
      <c r="E486" s="57"/>
    </row>
    <row r="487" spans="5:5" ht="12.75" x14ac:dyDescent="0.2">
      <c r="E487" s="57"/>
    </row>
    <row r="488" spans="5:5" ht="12.75" x14ac:dyDescent="0.2">
      <c r="E488" s="57"/>
    </row>
    <row r="489" spans="5:5" ht="12.75" x14ac:dyDescent="0.2">
      <c r="E489" s="57"/>
    </row>
    <row r="490" spans="5:5" ht="12.75" x14ac:dyDescent="0.2">
      <c r="E490" s="57"/>
    </row>
    <row r="491" spans="5:5" ht="12.75" x14ac:dyDescent="0.2">
      <c r="E491" s="57"/>
    </row>
    <row r="492" spans="5:5" ht="12.75" x14ac:dyDescent="0.2">
      <c r="E492" s="57"/>
    </row>
    <row r="493" spans="5:5" ht="12.75" x14ac:dyDescent="0.2">
      <c r="E493" s="57"/>
    </row>
    <row r="494" spans="5:5" ht="12.75" x14ac:dyDescent="0.2">
      <c r="E494" s="57"/>
    </row>
    <row r="495" spans="5:5" ht="12.75" x14ac:dyDescent="0.2">
      <c r="E495" s="57"/>
    </row>
    <row r="496" spans="5:5" ht="12.75" x14ac:dyDescent="0.2">
      <c r="E496" s="57"/>
    </row>
    <row r="497" spans="5:5" ht="12.75" x14ac:dyDescent="0.2">
      <c r="E497" s="57"/>
    </row>
    <row r="498" spans="5:5" ht="12.75" x14ac:dyDescent="0.2">
      <c r="E498" s="57"/>
    </row>
    <row r="499" spans="5:5" ht="12.75" x14ac:dyDescent="0.2">
      <c r="E499" s="57"/>
    </row>
    <row r="500" spans="5:5" ht="12.75" x14ac:dyDescent="0.2">
      <c r="E500" s="57"/>
    </row>
    <row r="501" spans="5:5" ht="12.75" x14ac:dyDescent="0.2">
      <c r="E501" s="57"/>
    </row>
    <row r="502" spans="5:5" ht="12.75" x14ac:dyDescent="0.2">
      <c r="E502" s="57"/>
    </row>
    <row r="503" spans="5:5" ht="12.75" x14ac:dyDescent="0.2">
      <c r="E503" s="57"/>
    </row>
    <row r="504" spans="5:5" ht="12.75" x14ac:dyDescent="0.2">
      <c r="E504" s="57"/>
    </row>
    <row r="505" spans="5:5" ht="12.75" x14ac:dyDescent="0.2">
      <c r="E505" s="57"/>
    </row>
    <row r="506" spans="5:5" ht="12.75" x14ac:dyDescent="0.2">
      <c r="E506" s="57"/>
    </row>
    <row r="507" spans="5:5" ht="12.75" x14ac:dyDescent="0.2">
      <c r="E507" s="57"/>
    </row>
    <row r="508" spans="5:5" ht="12.75" x14ac:dyDescent="0.2">
      <c r="E508" s="57"/>
    </row>
    <row r="509" spans="5:5" ht="12.75" x14ac:dyDescent="0.2">
      <c r="E509" s="57"/>
    </row>
    <row r="510" spans="5:5" ht="12.75" x14ac:dyDescent="0.2">
      <c r="E510" s="57"/>
    </row>
    <row r="511" spans="5:5" ht="12.75" x14ac:dyDescent="0.2">
      <c r="E511" s="57"/>
    </row>
    <row r="512" spans="5:5" ht="12.75" x14ac:dyDescent="0.2">
      <c r="E512" s="57"/>
    </row>
    <row r="513" spans="5:5" ht="12.75" x14ac:dyDescent="0.2">
      <c r="E513" s="57"/>
    </row>
    <row r="514" spans="5:5" ht="12.75" x14ac:dyDescent="0.2">
      <c r="E514" s="57"/>
    </row>
    <row r="515" spans="5:5" ht="12.75" x14ac:dyDescent="0.2">
      <c r="E515" s="57"/>
    </row>
    <row r="516" spans="5:5" ht="12.75" x14ac:dyDescent="0.2">
      <c r="E516" s="57"/>
    </row>
    <row r="517" spans="5:5" ht="12.75" x14ac:dyDescent="0.2">
      <c r="E517" s="57"/>
    </row>
    <row r="518" spans="5:5" ht="12.75" x14ac:dyDescent="0.2">
      <c r="E518" s="57"/>
    </row>
    <row r="519" spans="5:5" ht="12.75" x14ac:dyDescent="0.2">
      <c r="E519" s="57"/>
    </row>
    <row r="520" spans="5:5" ht="12.75" x14ac:dyDescent="0.2">
      <c r="E520" s="57"/>
    </row>
    <row r="521" spans="5:5" ht="12.75" x14ac:dyDescent="0.2">
      <c r="E521" s="57"/>
    </row>
    <row r="522" spans="5:5" ht="12.75" x14ac:dyDescent="0.2">
      <c r="E522" s="57"/>
    </row>
    <row r="523" spans="5:5" ht="12.75" x14ac:dyDescent="0.2">
      <c r="E523" s="57"/>
    </row>
    <row r="524" spans="5:5" ht="12.75" x14ac:dyDescent="0.2">
      <c r="E524" s="57"/>
    </row>
    <row r="525" spans="5:5" ht="12.75" x14ac:dyDescent="0.2">
      <c r="E525" s="57"/>
    </row>
    <row r="526" spans="5:5" ht="12.75" x14ac:dyDescent="0.2">
      <c r="E526" s="57"/>
    </row>
    <row r="527" spans="5:5" ht="12.75" x14ac:dyDescent="0.2">
      <c r="E527" s="57"/>
    </row>
    <row r="528" spans="5:5" ht="12.75" x14ac:dyDescent="0.2">
      <c r="E528" s="57"/>
    </row>
    <row r="529" spans="5:5" ht="12.75" x14ac:dyDescent="0.2">
      <c r="E529" s="57"/>
    </row>
    <row r="530" spans="5:5" ht="12.75" x14ac:dyDescent="0.2">
      <c r="E530" s="57"/>
    </row>
    <row r="531" spans="5:5" ht="12.75" x14ac:dyDescent="0.2">
      <c r="E531" s="57"/>
    </row>
    <row r="532" spans="5:5" ht="12.75" x14ac:dyDescent="0.2">
      <c r="E532" s="57"/>
    </row>
    <row r="533" spans="5:5" ht="12.75" x14ac:dyDescent="0.2">
      <c r="E533" s="57"/>
    </row>
    <row r="534" spans="5:5" ht="12.75" x14ac:dyDescent="0.2">
      <c r="E534" s="57"/>
    </row>
    <row r="535" spans="5:5" ht="12.75" x14ac:dyDescent="0.2">
      <c r="E535" s="57"/>
    </row>
    <row r="536" spans="5:5" ht="12.75" x14ac:dyDescent="0.2">
      <c r="E536" s="57"/>
    </row>
    <row r="537" spans="5:5" ht="12.75" x14ac:dyDescent="0.2">
      <c r="E537" s="57"/>
    </row>
    <row r="538" spans="5:5" ht="12.75" x14ac:dyDescent="0.2">
      <c r="E538" s="57"/>
    </row>
    <row r="539" spans="5:5" ht="12.75" x14ac:dyDescent="0.2">
      <c r="E539" s="57"/>
    </row>
    <row r="540" spans="5:5" ht="12.75" x14ac:dyDescent="0.2">
      <c r="E540" s="57"/>
    </row>
    <row r="541" spans="5:5" ht="12.75" x14ac:dyDescent="0.2">
      <c r="E541" s="57"/>
    </row>
    <row r="542" spans="5:5" ht="12.75" x14ac:dyDescent="0.2">
      <c r="E542" s="57"/>
    </row>
    <row r="543" spans="5:5" ht="12.75" x14ac:dyDescent="0.2">
      <c r="E543" s="57"/>
    </row>
    <row r="544" spans="5:5" ht="12.75" x14ac:dyDescent="0.2">
      <c r="E544" s="57"/>
    </row>
    <row r="545" spans="5:5" ht="12.75" x14ac:dyDescent="0.2">
      <c r="E545" s="57"/>
    </row>
    <row r="546" spans="5:5" ht="12.75" x14ac:dyDescent="0.2">
      <c r="E546" s="57"/>
    </row>
    <row r="547" spans="5:5" ht="12.75" x14ac:dyDescent="0.2">
      <c r="E547" s="57"/>
    </row>
    <row r="548" spans="5:5" ht="12.75" x14ac:dyDescent="0.2">
      <c r="E548" s="57"/>
    </row>
    <row r="549" spans="5:5" ht="12.75" x14ac:dyDescent="0.2">
      <c r="E549" s="57"/>
    </row>
    <row r="550" spans="5:5" ht="12.75" x14ac:dyDescent="0.2">
      <c r="E550" s="57"/>
    </row>
    <row r="551" spans="5:5" ht="12.75" x14ac:dyDescent="0.2">
      <c r="E551" s="57"/>
    </row>
    <row r="552" spans="5:5" ht="12.75" x14ac:dyDescent="0.2">
      <c r="E552" s="57"/>
    </row>
    <row r="553" spans="5:5" ht="12.75" x14ac:dyDescent="0.2">
      <c r="E553" s="57"/>
    </row>
    <row r="554" spans="5:5" ht="12.75" x14ac:dyDescent="0.2">
      <c r="E554" s="57"/>
    </row>
    <row r="555" spans="5:5" ht="12.75" x14ac:dyDescent="0.2">
      <c r="E555" s="57"/>
    </row>
    <row r="556" spans="5:5" ht="12.75" x14ac:dyDescent="0.2">
      <c r="E556" s="57"/>
    </row>
    <row r="557" spans="5:5" ht="12.75" x14ac:dyDescent="0.2">
      <c r="E557" s="57"/>
    </row>
    <row r="558" spans="5:5" ht="12.75" x14ac:dyDescent="0.2">
      <c r="E558" s="57"/>
    </row>
    <row r="559" spans="5:5" ht="12.75" x14ac:dyDescent="0.2">
      <c r="E559" s="57"/>
    </row>
    <row r="560" spans="5:5" ht="12.75" x14ac:dyDescent="0.2">
      <c r="E560" s="57"/>
    </row>
    <row r="561" spans="5:5" ht="12.75" x14ac:dyDescent="0.2">
      <c r="E561" s="57"/>
    </row>
    <row r="562" spans="5:5" ht="12.75" x14ac:dyDescent="0.2">
      <c r="E562" s="57"/>
    </row>
    <row r="563" spans="5:5" ht="12.75" x14ac:dyDescent="0.2">
      <c r="E563" s="57"/>
    </row>
    <row r="564" spans="5:5" ht="12.75" x14ac:dyDescent="0.2">
      <c r="E564" s="57"/>
    </row>
    <row r="565" spans="5:5" ht="12.75" x14ac:dyDescent="0.2">
      <c r="E565" s="57"/>
    </row>
    <row r="566" spans="5:5" ht="12.75" x14ac:dyDescent="0.2">
      <c r="E566" s="57"/>
    </row>
    <row r="567" spans="5:5" ht="12.75" x14ac:dyDescent="0.2">
      <c r="E567" s="57"/>
    </row>
    <row r="568" spans="5:5" ht="12.75" x14ac:dyDescent="0.2">
      <c r="E568" s="57"/>
    </row>
    <row r="569" spans="5:5" ht="12.75" x14ac:dyDescent="0.2">
      <c r="E569" s="57"/>
    </row>
    <row r="570" spans="5:5" ht="12.75" x14ac:dyDescent="0.2">
      <c r="E570" s="57"/>
    </row>
    <row r="571" spans="5:5" ht="12.75" x14ac:dyDescent="0.2">
      <c r="E571" s="57"/>
    </row>
    <row r="572" spans="5:5" ht="12.75" x14ac:dyDescent="0.2">
      <c r="E572" s="57"/>
    </row>
    <row r="573" spans="5:5" ht="12.75" x14ac:dyDescent="0.2">
      <c r="E573" s="57"/>
    </row>
    <row r="574" spans="5:5" ht="12.75" x14ac:dyDescent="0.2">
      <c r="E574" s="57"/>
    </row>
    <row r="575" spans="5:5" ht="12.75" x14ac:dyDescent="0.2">
      <c r="E575" s="57"/>
    </row>
    <row r="576" spans="5:5" ht="12.75" x14ac:dyDescent="0.2">
      <c r="E576" s="57"/>
    </row>
    <row r="577" spans="5:5" ht="12.75" x14ac:dyDescent="0.2">
      <c r="E577" s="57"/>
    </row>
    <row r="578" spans="5:5" ht="12.75" x14ac:dyDescent="0.2">
      <c r="E578" s="57"/>
    </row>
    <row r="579" spans="5:5" ht="12.75" x14ac:dyDescent="0.2">
      <c r="E579" s="57"/>
    </row>
    <row r="580" spans="5:5" ht="12.75" x14ac:dyDescent="0.2">
      <c r="E580" s="57"/>
    </row>
    <row r="581" spans="5:5" ht="12.75" x14ac:dyDescent="0.2">
      <c r="E581" s="57"/>
    </row>
    <row r="582" spans="5:5" ht="12.75" x14ac:dyDescent="0.2">
      <c r="E582" s="57"/>
    </row>
    <row r="583" spans="5:5" ht="12.75" x14ac:dyDescent="0.2">
      <c r="E583" s="57"/>
    </row>
    <row r="584" spans="5:5" ht="12.75" x14ac:dyDescent="0.2">
      <c r="E584" s="57"/>
    </row>
    <row r="585" spans="5:5" ht="12.75" x14ac:dyDescent="0.2">
      <c r="E585" s="57"/>
    </row>
    <row r="586" spans="5:5" ht="12.75" x14ac:dyDescent="0.2">
      <c r="E586" s="57"/>
    </row>
    <row r="587" spans="5:5" ht="12.75" x14ac:dyDescent="0.2">
      <c r="E587" s="57"/>
    </row>
    <row r="588" spans="5:5" ht="12.75" x14ac:dyDescent="0.2">
      <c r="E588" s="57"/>
    </row>
    <row r="589" spans="5:5" ht="12.75" x14ac:dyDescent="0.2">
      <c r="E589" s="57"/>
    </row>
    <row r="590" spans="5:5" ht="12.75" x14ac:dyDescent="0.2">
      <c r="E590" s="57"/>
    </row>
    <row r="591" spans="5:5" ht="12.75" x14ac:dyDescent="0.2">
      <c r="E591" s="57"/>
    </row>
    <row r="592" spans="5:5" ht="12.75" x14ac:dyDescent="0.2">
      <c r="E592" s="57"/>
    </row>
    <row r="593" spans="5:5" ht="12.75" x14ac:dyDescent="0.2">
      <c r="E593" s="57"/>
    </row>
    <row r="594" spans="5:5" ht="12.75" x14ac:dyDescent="0.2">
      <c r="E594" s="57"/>
    </row>
    <row r="595" spans="5:5" ht="12.75" x14ac:dyDescent="0.2">
      <c r="E595" s="57"/>
    </row>
    <row r="596" spans="5:5" ht="12.75" x14ac:dyDescent="0.2">
      <c r="E596" s="57"/>
    </row>
    <row r="597" spans="5:5" ht="12.75" x14ac:dyDescent="0.2">
      <c r="E597" s="57"/>
    </row>
    <row r="598" spans="5:5" ht="12.75" x14ac:dyDescent="0.2">
      <c r="E598" s="57"/>
    </row>
    <row r="599" spans="5:5" ht="12.75" x14ac:dyDescent="0.2">
      <c r="E599" s="57"/>
    </row>
    <row r="600" spans="5:5" ht="12.75" x14ac:dyDescent="0.2">
      <c r="E600" s="57"/>
    </row>
    <row r="601" spans="5:5" ht="12.75" x14ac:dyDescent="0.2">
      <c r="E601" s="57"/>
    </row>
    <row r="602" spans="5:5" ht="12.75" x14ac:dyDescent="0.2">
      <c r="E602" s="57"/>
    </row>
    <row r="603" spans="5:5" ht="12.75" x14ac:dyDescent="0.2">
      <c r="E603" s="57"/>
    </row>
    <row r="604" spans="5:5" ht="12.75" x14ac:dyDescent="0.2">
      <c r="E604" s="57"/>
    </row>
    <row r="605" spans="5:5" ht="12.75" x14ac:dyDescent="0.2">
      <c r="E605" s="57"/>
    </row>
    <row r="606" spans="5:5" ht="12.75" x14ac:dyDescent="0.2">
      <c r="E606" s="57"/>
    </row>
    <row r="607" spans="5:5" ht="12.75" x14ac:dyDescent="0.2">
      <c r="E607" s="57"/>
    </row>
    <row r="608" spans="5:5" ht="12.75" x14ac:dyDescent="0.2">
      <c r="E608" s="57"/>
    </row>
    <row r="609" spans="5:5" ht="12.75" x14ac:dyDescent="0.2">
      <c r="E609" s="57"/>
    </row>
    <row r="610" spans="5:5" ht="12.75" x14ac:dyDescent="0.2">
      <c r="E610" s="57"/>
    </row>
    <row r="611" spans="5:5" ht="12.75" x14ac:dyDescent="0.2">
      <c r="E611" s="57"/>
    </row>
    <row r="612" spans="5:5" ht="12.75" x14ac:dyDescent="0.2">
      <c r="E612" s="57"/>
    </row>
    <row r="613" spans="5:5" ht="12.75" x14ac:dyDescent="0.2">
      <c r="E613" s="57"/>
    </row>
    <row r="614" spans="5:5" ht="12.75" x14ac:dyDescent="0.2">
      <c r="E614" s="57"/>
    </row>
    <row r="615" spans="5:5" ht="12.75" x14ac:dyDescent="0.2">
      <c r="E615" s="57"/>
    </row>
    <row r="616" spans="5:5" ht="12.75" x14ac:dyDescent="0.2">
      <c r="E616" s="57"/>
    </row>
    <row r="617" spans="5:5" ht="12.75" x14ac:dyDescent="0.2">
      <c r="E617" s="57"/>
    </row>
    <row r="618" spans="5:5" ht="12.75" x14ac:dyDescent="0.2">
      <c r="E618" s="57"/>
    </row>
    <row r="619" spans="5:5" ht="12.75" x14ac:dyDescent="0.2">
      <c r="E619" s="57"/>
    </row>
    <row r="620" spans="5:5" ht="12.75" x14ac:dyDescent="0.2">
      <c r="E620" s="57"/>
    </row>
    <row r="621" spans="5:5" ht="12.75" x14ac:dyDescent="0.2">
      <c r="E621" s="57"/>
    </row>
    <row r="622" spans="5:5" ht="12.75" x14ac:dyDescent="0.2">
      <c r="E622" s="57"/>
    </row>
    <row r="623" spans="5:5" ht="12.75" x14ac:dyDescent="0.2">
      <c r="E623" s="57"/>
    </row>
    <row r="624" spans="5:5" ht="12.75" x14ac:dyDescent="0.2">
      <c r="E624" s="57"/>
    </row>
    <row r="625" spans="5:5" ht="12.75" x14ac:dyDescent="0.2">
      <c r="E625" s="57"/>
    </row>
    <row r="626" spans="5:5" ht="12.75" x14ac:dyDescent="0.2">
      <c r="E626" s="57"/>
    </row>
    <row r="627" spans="5:5" ht="12.75" x14ac:dyDescent="0.2">
      <c r="E627" s="57"/>
    </row>
    <row r="628" spans="5:5" ht="12.75" x14ac:dyDescent="0.2">
      <c r="E628" s="57"/>
    </row>
    <row r="629" spans="5:5" ht="12.75" x14ac:dyDescent="0.2">
      <c r="E629" s="57"/>
    </row>
    <row r="630" spans="5:5" ht="12.75" x14ac:dyDescent="0.2">
      <c r="E630" s="57"/>
    </row>
    <row r="631" spans="5:5" ht="12.75" x14ac:dyDescent="0.2">
      <c r="E631" s="57"/>
    </row>
    <row r="632" spans="5:5" ht="12.75" x14ac:dyDescent="0.2">
      <c r="E632" s="57"/>
    </row>
    <row r="633" spans="5:5" ht="12.75" x14ac:dyDescent="0.2">
      <c r="E633" s="57"/>
    </row>
    <row r="634" spans="5:5" ht="12.75" x14ac:dyDescent="0.2">
      <c r="E634" s="57"/>
    </row>
    <row r="635" spans="5:5" ht="12.75" x14ac:dyDescent="0.2">
      <c r="E635" s="57"/>
    </row>
    <row r="636" spans="5:5" ht="12.75" x14ac:dyDescent="0.2">
      <c r="E636" s="57"/>
    </row>
    <row r="637" spans="5:5" ht="12.75" x14ac:dyDescent="0.2">
      <c r="E637" s="57"/>
    </row>
    <row r="638" spans="5:5" ht="12.75" x14ac:dyDescent="0.2">
      <c r="E638" s="57"/>
    </row>
    <row r="639" spans="5:5" ht="12.75" x14ac:dyDescent="0.2">
      <c r="E639" s="57"/>
    </row>
    <row r="640" spans="5:5" ht="12.75" x14ac:dyDescent="0.2">
      <c r="E640" s="57"/>
    </row>
    <row r="641" spans="5:5" ht="12.75" x14ac:dyDescent="0.2">
      <c r="E641" s="57"/>
    </row>
    <row r="642" spans="5:5" ht="12.75" x14ac:dyDescent="0.2">
      <c r="E642" s="57"/>
    </row>
    <row r="643" spans="5:5" ht="12.75" x14ac:dyDescent="0.2">
      <c r="E643" s="57"/>
    </row>
    <row r="644" spans="5:5" ht="12.75" x14ac:dyDescent="0.2">
      <c r="E644" s="57"/>
    </row>
    <row r="645" spans="5:5" ht="12.75" x14ac:dyDescent="0.2">
      <c r="E645" s="57"/>
    </row>
    <row r="646" spans="5:5" ht="12.75" x14ac:dyDescent="0.2">
      <c r="E646" s="57"/>
    </row>
    <row r="647" spans="5:5" ht="12.75" x14ac:dyDescent="0.2">
      <c r="E647" s="57"/>
    </row>
    <row r="648" spans="5:5" ht="12.75" x14ac:dyDescent="0.2">
      <c r="E648" s="57"/>
    </row>
    <row r="649" spans="5:5" ht="12.75" x14ac:dyDescent="0.2">
      <c r="E649" s="57"/>
    </row>
    <row r="650" spans="5:5" ht="12.75" x14ac:dyDescent="0.2">
      <c r="E650" s="57"/>
    </row>
    <row r="651" spans="5:5" ht="12.75" x14ac:dyDescent="0.2">
      <c r="E651" s="57"/>
    </row>
    <row r="652" spans="5:5" ht="12.75" x14ac:dyDescent="0.2">
      <c r="E652" s="57"/>
    </row>
    <row r="653" spans="5:5" ht="12.75" x14ac:dyDescent="0.2">
      <c r="E653" s="57"/>
    </row>
    <row r="654" spans="5:5" ht="12.75" x14ac:dyDescent="0.2">
      <c r="E654" s="57"/>
    </row>
    <row r="655" spans="5:5" ht="12.75" x14ac:dyDescent="0.2">
      <c r="E655" s="57"/>
    </row>
    <row r="656" spans="5:5" ht="12.75" x14ac:dyDescent="0.2">
      <c r="E656" s="57"/>
    </row>
    <row r="657" spans="5:5" ht="12.75" x14ac:dyDescent="0.2">
      <c r="E657" s="57"/>
    </row>
    <row r="658" spans="5:5" ht="12.75" x14ac:dyDescent="0.2">
      <c r="E658" s="57"/>
    </row>
    <row r="659" spans="5:5" ht="12.75" x14ac:dyDescent="0.2">
      <c r="E659" s="57"/>
    </row>
    <row r="660" spans="5:5" ht="12.75" x14ac:dyDescent="0.2">
      <c r="E660" s="57"/>
    </row>
    <row r="661" spans="5:5" ht="12.75" x14ac:dyDescent="0.2">
      <c r="E661" s="57"/>
    </row>
    <row r="662" spans="5:5" ht="12.75" x14ac:dyDescent="0.2">
      <c r="E662" s="57"/>
    </row>
    <row r="663" spans="5:5" ht="12.75" x14ac:dyDescent="0.2">
      <c r="E663" s="57"/>
    </row>
    <row r="664" spans="5:5" ht="12.75" x14ac:dyDescent="0.2">
      <c r="E664" s="57"/>
    </row>
    <row r="665" spans="5:5" ht="12.75" x14ac:dyDescent="0.2">
      <c r="E665" s="57"/>
    </row>
    <row r="666" spans="5:5" ht="12.75" x14ac:dyDescent="0.2">
      <c r="E666" s="57"/>
    </row>
    <row r="667" spans="5:5" ht="12.75" x14ac:dyDescent="0.2">
      <c r="E667" s="57"/>
    </row>
    <row r="668" spans="5:5" ht="12.75" x14ac:dyDescent="0.2">
      <c r="E668" s="57"/>
    </row>
    <row r="669" spans="5:5" ht="12.75" x14ac:dyDescent="0.2">
      <c r="E669" s="57"/>
    </row>
    <row r="670" spans="5:5" ht="12.75" x14ac:dyDescent="0.2">
      <c r="E670" s="57"/>
    </row>
    <row r="671" spans="5:5" ht="12.75" x14ac:dyDescent="0.2">
      <c r="E671" s="57"/>
    </row>
    <row r="672" spans="5:5" ht="12.75" x14ac:dyDescent="0.2">
      <c r="E672" s="57"/>
    </row>
    <row r="673" spans="5:5" ht="12.75" x14ac:dyDescent="0.2">
      <c r="E673" s="57"/>
    </row>
    <row r="674" spans="5:5" ht="12.75" x14ac:dyDescent="0.2">
      <c r="E674" s="57"/>
    </row>
    <row r="675" spans="5:5" ht="12.75" x14ac:dyDescent="0.2">
      <c r="E675" s="57"/>
    </row>
    <row r="676" spans="5:5" ht="12.75" x14ac:dyDescent="0.2">
      <c r="E676" s="57"/>
    </row>
    <row r="677" spans="5:5" ht="12.75" x14ac:dyDescent="0.2">
      <c r="E677" s="57"/>
    </row>
    <row r="678" spans="5:5" ht="12.75" x14ac:dyDescent="0.2">
      <c r="E678" s="57"/>
    </row>
    <row r="679" spans="5:5" ht="12.75" x14ac:dyDescent="0.2">
      <c r="E679" s="57"/>
    </row>
    <row r="680" spans="5:5" ht="12.75" x14ac:dyDescent="0.2">
      <c r="E680" s="57"/>
    </row>
    <row r="681" spans="5:5" ht="12.75" x14ac:dyDescent="0.2">
      <c r="E681" s="57"/>
    </row>
    <row r="682" spans="5:5" ht="12.75" x14ac:dyDescent="0.2">
      <c r="E682" s="57"/>
    </row>
    <row r="683" spans="5:5" ht="12.75" x14ac:dyDescent="0.2">
      <c r="E683" s="57"/>
    </row>
    <row r="684" spans="5:5" ht="12.75" x14ac:dyDescent="0.2">
      <c r="E684" s="57"/>
    </row>
    <row r="685" spans="5:5" ht="12.75" x14ac:dyDescent="0.2">
      <c r="E685" s="57"/>
    </row>
    <row r="686" spans="5:5" ht="12.75" x14ac:dyDescent="0.2">
      <c r="E686" s="57"/>
    </row>
    <row r="687" spans="5:5" ht="12.75" x14ac:dyDescent="0.2">
      <c r="E687" s="57"/>
    </row>
    <row r="688" spans="5:5" ht="12.75" x14ac:dyDescent="0.2">
      <c r="E688" s="57"/>
    </row>
    <row r="689" spans="5:5" ht="12.75" x14ac:dyDescent="0.2">
      <c r="E689" s="57"/>
    </row>
    <row r="690" spans="5:5" ht="12.75" x14ac:dyDescent="0.2">
      <c r="E690" s="57"/>
    </row>
    <row r="691" spans="5:5" ht="12.75" x14ac:dyDescent="0.2">
      <c r="E691" s="57"/>
    </row>
    <row r="692" spans="5:5" ht="12.75" x14ac:dyDescent="0.2">
      <c r="E692" s="57"/>
    </row>
    <row r="693" spans="5:5" ht="12.75" x14ac:dyDescent="0.2">
      <c r="E693" s="57"/>
    </row>
    <row r="694" spans="5:5" ht="12.75" x14ac:dyDescent="0.2">
      <c r="E694" s="57"/>
    </row>
    <row r="695" spans="5:5" ht="12.75" x14ac:dyDescent="0.2">
      <c r="E695" s="57"/>
    </row>
    <row r="696" spans="5:5" ht="12.75" x14ac:dyDescent="0.2">
      <c r="E696" s="57"/>
    </row>
    <row r="697" spans="5:5" ht="12.75" x14ac:dyDescent="0.2">
      <c r="E697" s="57"/>
    </row>
    <row r="698" spans="5:5" ht="12.75" x14ac:dyDescent="0.2">
      <c r="E698" s="57"/>
    </row>
    <row r="699" spans="5:5" ht="12.75" x14ac:dyDescent="0.2">
      <c r="E699" s="57"/>
    </row>
    <row r="700" spans="5:5" ht="12.75" x14ac:dyDescent="0.2">
      <c r="E700" s="57"/>
    </row>
    <row r="701" spans="5:5" ht="12.75" x14ac:dyDescent="0.2">
      <c r="E701" s="57"/>
    </row>
    <row r="702" spans="5:5" ht="12.75" x14ac:dyDescent="0.2">
      <c r="E702" s="57"/>
    </row>
    <row r="703" spans="5:5" ht="12.75" x14ac:dyDescent="0.2">
      <c r="E703" s="57"/>
    </row>
    <row r="704" spans="5:5" ht="12.75" x14ac:dyDescent="0.2">
      <c r="E704" s="57"/>
    </row>
    <row r="705" spans="5:5" ht="12.75" x14ac:dyDescent="0.2">
      <c r="E705" s="57"/>
    </row>
    <row r="706" spans="5:5" ht="12.75" x14ac:dyDescent="0.2">
      <c r="E706" s="57"/>
    </row>
    <row r="707" spans="5:5" ht="12.75" x14ac:dyDescent="0.2">
      <c r="E707" s="57"/>
    </row>
    <row r="708" spans="5:5" ht="12.75" x14ac:dyDescent="0.2">
      <c r="E708" s="57"/>
    </row>
    <row r="709" spans="5:5" ht="12.75" x14ac:dyDescent="0.2">
      <c r="E709" s="57"/>
    </row>
    <row r="710" spans="5:5" ht="12.75" x14ac:dyDescent="0.2">
      <c r="E710" s="57"/>
    </row>
    <row r="711" spans="5:5" ht="12.75" x14ac:dyDescent="0.2">
      <c r="E711" s="57"/>
    </row>
    <row r="712" spans="5:5" ht="12.75" x14ac:dyDescent="0.2">
      <c r="E712" s="57"/>
    </row>
    <row r="713" spans="5:5" ht="12.75" x14ac:dyDescent="0.2">
      <c r="E713" s="57"/>
    </row>
    <row r="714" spans="5:5" ht="12.75" x14ac:dyDescent="0.2">
      <c r="E714" s="57"/>
    </row>
    <row r="715" spans="5:5" ht="12.75" x14ac:dyDescent="0.2">
      <c r="E715" s="57"/>
    </row>
    <row r="716" spans="5:5" ht="12.75" x14ac:dyDescent="0.2">
      <c r="E716" s="57"/>
    </row>
    <row r="717" spans="5:5" ht="12.75" x14ac:dyDescent="0.2">
      <c r="E717" s="57"/>
    </row>
    <row r="718" spans="5:5" ht="12.75" x14ac:dyDescent="0.2">
      <c r="E718" s="57"/>
    </row>
    <row r="719" spans="5:5" ht="12.75" x14ac:dyDescent="0.2">
      <c r="E719" s="57"/>
    </row>
    <row r="720" spans="5:5" ht="12.75" x14ac:dyDescent="0.2">
      <c r="E720" s="57"/>
    </row>
    <row r="721" spans="5:5" ht="12.75" x14ac:dyDescent="0.2">
      <c r="E721" s="57"/>
    </row>
    <row r="722" spans="5:5" ht="12.75" x14ac:dyDescent="0.2">
      <c r="E722" s="57"/>
    </row>
    <row r="723" spans="5:5" ht="12.75" x14ac:dyDescent="0.2">
      <c r="E723" s="57"/>
    </row>
    <row r="724" spans="5:5" ht="12.75" x14ac:dyDescent="0.2">
      <c r="E724" s="57"/>
    </row>
    <row r="725" spans="5:5" ht="12.75" x14ac:dyDescent="0.2">
      <c r="E725" s="57"/>
    </row>
    <row r="726" spans="5:5" ht="12.75" x14ac:dyDescent="0.2">
      <c r="E726" s="57"/>
    </row>
    <row r="727" spans="5:5" ht="12.75" x14ac:dyDescent="0.2">
      <c r="E727" s="57"/>
    </row>
    <row r="728" spans="5:5" ht="12.75" x14ac:dyDescent="0.2">
      <c r="E728" s="57"/>
    </row>
    <row r="729" spans="5:5" ht="12.75" x14ac:dyDescent="0.2">
      <c r="E729" s="57"/>
    </row>
    <row r="730" spans="5:5" ht="12.75" x14ac:dyDescent="0.2">
      <c r="E730" s="57"/>
    </row>
    <row r="731" spans="5:5" ht="12.75" x14ac:dyDescent="0.2">
      <c r="E731" s="57"/>
    </row>
    <row r="732" spans="5:5" ht="12.75" x14ac:dyDescent="0.2">
      <c r="E732" s="57"/>
    </row>
    <row r="733" spans="5:5" ht="12.75" x14ac:dyDescent="0.2">
      <c r="E733" s="57"/>
    </row>
    <row r="734" spans="5:5" ht="12.75" x14ac:dyDescent="0.2">
      <c r="E734" s="57"/>
    </row>
    <row r="735" spans="5:5" ht="12.75" x14ac:dyDescent="0.2">
      <c r="E735" s="57"/>
    </row>
    <row r="736" spans="5:5" ht="12.75" x14ac:dyDescent="0.2">
      <c r="E736" s="57"/>
    </row>
    <row r="737" spans="5:5" ht="12.75" x14ac:dyDescent="0.2">
      <c r="E737" s="57"/>
    </row>
    <row r="738" spans="5:5" ht="12.75" x14ac:dyDescent="0.2">
      <c r="E738" s="57"/>
    </row>
    <row r="739" spans="5:5" ht="12.75" x14ac:dyDescent="0.2">
      <c r="E739" s="57"/>
    </row>
    <row r="740" spans="5:5" ht="12.75" x14ac:dyDescent="0.2">
      <c r="E740" s="57"/>
    </row>
    <row r="741" spans="5:5" ht="12.75" x14ac:dyDescent="0.2">
      <c r="E741" s="57"/>
    </row>
    <row r="742" spans="5:5" ht="12.75" x14ac:dyDescent="0.2">
      <c r="E742" s="57"/>
    </row>
    <row r="743" spans="5:5" ht="12.75" x14ac:dyDescent="0.2">
      <c r="E743" s="57"/>
    </row>
    <row r="744" spans="5:5" ht="12.75" x14ac:dyDescent="0.2">
      <c r="E744" s="57"/>
    </row>
    <row r="745" spans="5:5" ht="12.75" x14ac:dyDescent="0.2">
      <c r="E745" s="57"/>
    </row>
    <row r="746" spans="5:5" ht="12.75" x14ac:dyDescent="0.2">
      <c r="E746" s="57"/>
    </row>
    <row r="747" spans="5:5" ht="12.75" x14ac:dyDescent="0.2">
      <c r="E747" s="57"/>
    </row>
    <row r="748" spans="5:5" ht="12.75" x14ac:dyDescent="0.2">
      <c r="E748" s="57"/>
    </row>
    <row r="749" spans="5:5" ht="12.75" x14ac:dyDescent="0.2">
      <c r="E749" s="57"/>
    </row>
    <row r="750" spans="5:5" ht="12.75" x14ac:dyDescent="0.2">
      <c r="E750" s="57"/>
    </row>
    <row r="751" spans="5:5" ht="12.75" x14ac:dyDescent="0.2">
      <c r="E751" s="57"/>
    </row>
    <row r="752" spans="5:5" ht="12.75" x14ac:dyDescent="0.2">
      <c r="E752" s="57"/>
    </row>
    <row r="753" spans="5:5" ht="12.75" x14ac:dyDescent="0.2">
      <c r="E753" s="57"/>
    </row>
    <row r="754" spans="5:5" ht="12.75" x14ac:dyDescent="0.2">
      <c r="E754" s="57"/>
    </row>
    <row r="755" spans="5:5" ht="12.75" x14ac:dyDescent="0.2">
      <c r="E755" s="57"/>
    </row>
    <row r="756" spans="5:5" ht="12.75" x14ac:dyDescent="0.2">
      <c r="E756" s="57"/>
    </row>
    <row r="757" spans="5:5" ht="12.75" x14ac:dyDescent="0.2">
      <c r="E757" s="57"/>
    </row>
    <row r="758" spans="5:5" ht="12.75" x14ac:dyDescent="0.2">
      <c r="E758" s="57"/>
    </row>
    <row r="759" spans="5:5" ht="12.75" x14ac:dyDescent="0.2">
      <c r="E759" s="57"/>
    </row>
    <row r="760" spans="5:5" ht="12.75" x14ac:dyDescent="0.2">
      <c r="E760" s="57"/>
    </row>
    <row r="761" spans="5:5" ht="12.75" x14ac:dyDescent="0.2">
      <c r="E761" s="57"/>
    </row>
    <row r="762" spans="5:5" ht="12.75" x14ac:dyDescent="0.2">
      <c r="E762" s="57"/>
    </row>
    <row r="763" spans="5:5" ht="12.75" x14ac:dyDescent="0.2">
      <c r="E763" s="57"/>
    </row>
    <row r="764" spans="5:5" ht="12.75" x14ac:dyDescent="0.2">
      <c r="E764" s="57"/>
    </row>
    <row r="765" spans="5:5" ht="12.75" x14ac:dyDescent="0.2">
      <c r="E765" s="57"/>
    </row>
    <row r="766" spans="5:5" ht="12.75" x14ac:dyDescent="0.2">
      <c r="E766" s="57"/>
    </row>
    <row r="767" spans="5:5" ht="12.75" x14ac:dyDescent="0.2">
      <c r="E767" s="57"/>
    </row>
    <row r="768" spans="5:5" ht="12.75" x14ac:dyDescent="0.2">
      <c r="E768" s="57"/>
    </row>
    <row r="769" spans="5:5" ht="12.75" x14ac:dyDescent="0.2">
      <c r="E769" s="57"/>
    </row>
    <row r="770" spans="5:5" ht="12.75" x14ac:dyDescent="0.2">
      <c r="E770" s="57"/>
    </row>
    <row r="771" spans="5:5" ht="12.75" x14ac:dyDescent="0.2">
      <c r="E771" s="57"/>
    </row>
    <row r="772" spans="5:5" ht="12.75" x14ac:dyDescent="0.2">
      <c r="E772" s="57"/>
    </row>
    <row r="773" spans="5:5" ht="12.75" x14ac:dyDescent="0.2">
      <c r="E773" s="57"/>
    </row>
    <row r="774" spans="5:5" ht="12.75" x14ac:dyDescent="0.2">
      <c r="E774" s="57"/>
    </row>
    <row r="775" spans="5:5" ht="12.75" x14ac:dyDescent="0.2">
      <c r="E775" s="57"/>
    </row>
    <row r="776" spans="5:5" ht="12.75" x14ac:dyDescent="0.2">
      <c r="E776" s="57"/>
    </row>
    <row r="777" spans="5:5" ht="12.75" x14ac:dyDescent="0.2">
      <c r="E777" s="57"/>
    </row>
    <row r="778" spans="5:5" ht="12.75" x14ac:dyDescent="0.2">
      <c r="E778" s="57"/>
    </row>
    <row r="779" spans="5:5" ht="12.75" x14ac:dyDescent="0.2">
      <c r="E779" s="57"/>
    </row>
    <row r="780" spans="5:5" ht="12.75" x14ac:dyDescent="0.2">
      <c r="E780" s="57"/>
    </row>
    <row r="781" spans="5:5" ht="12.75" x14ac:dyDescent="0.2">
      <c r="E781" s="57"/>
    </row>
    <row r="782" spans="5:5" ht="12.75" x14ac:dyDescent="0.2">
      <c r="E782" s="57"/>
    </row>
    <row r="783" spans="5:5" ht="12.75" x14ac:dyDescent="0.2">
      <c r="E783" s="57"/>
    </row>
    <row r="784" spans="5:5" ht="12.75" x14ac:dyDescent="0.2">
      <c r="E784" s="57"/>
    </row>
    <row r="785" spans="5:5" ht="12.75" x14ac:dyDescent="0.2">
      <c r="E785" s="57"/>
    </row>
    <row r="786" spans="5:5" ht="12.75" x14ac:dyDescent="0.2">
      <c r="E786" s="57"/>
    </row>
    <row r="787" spans="5:5" ht="12.75" x14ac:dyDescent="0.2">
      <c r="E787" s="57"/>
    </row>
    <row r="788" spans="5:5" ht="12.75" x14ac:dyDescent="0.2">
      <c r="E788" s="57"/>
    </row>
    <row r="789" spans="5:5" ht="12.75" x14ac:dyDescent="0.2">
      <c r="E789" s="57"/>
    </row>
    <row r="790" spans="5:5" ht="12.75" x14ac:dyDescent="0.2">
      <c r="E790" s="57"/>
    </row>
    <row r="791" spans="5:5" ht="12.75" x14ac:dyDescent="0.2">
      <c r="E791" s="57"/>
    </row>
    <row r="792" spans="5:5" ht="12.75" x14ac:dyDescent="0.2">
      <c r="E792" s="57"/>
    </row>
    <row r="793" spans="5:5" ht="12.75" x14ac:dyDescent="0.2">
      <c r="E793" s="57"/>
    </row>
    <row r="794" spans="5:5" ht="12.75" x14ac:dyDescent="0.2">
      <c r="E794" s="57"/>
    </row>
    <row r="795" spans="5:5" ht="12.75" x14ac:dyDescent="0.2">
      <c r="E795" s="57"/>
    </row>
    <row r="796" spans="5:5" ht="12.75" x14ac:dyDescent="0.2">
      <c r="E796" s="57"/>
    </row>
    <row r="797" spans="5:5" ht="12.75" x14ac:dyDescent="0.2">
      <c r="E797" s="57"/>
    </row>
    <row r="798" spans="5:5" ht="12.75" x14ac:dyDescent="0.2">
      <c r="E798" s="57"/>
    </row>
    <row r="799" spans="5:5" ht="12.75" x14ac:dyDescent="0.2">
      <c r="E799" s="57"/>
    </row>
    <row r="800" spans="5:5" ht="12.75" x14ac:dyDescent="0.2">
      <c r="E800" s="57"/>
    </row>
    <row r="801" spans="5:5" ht="12.75" x14ac:dyDescent="0.2">
      <c r="E801" s="57"/>
    </row>
    <row r="802" spans="5:5" ht="12.75" x14ac:dyDescent="0.2">
      <c r="E802" s="57"/>
    </row>
    <row r="803" spans="5:5" ht="12.75" x14ac:dyDescent="0.2">
      <c r="E803" s="57"/>
    </row>
    <row r="804" spans="5:5" ht="12.75" x14ac:dyDescent="0.2">
      <c r="E804" s="57"/>
    </row>
    <row r="805" spans="5:5" ht="12.75" x14ac:dyDescent="0.2">
      <c r="E805" s="57"/>
    </row>
    <row r="806" spans="5:5" ht="12.75" x14ac:dyDescent="0.2">
      <c r="E806" s="57"/>
    </row>
    <row r="807" spans="5:5" ht="12.75" x14ac:dyDescent="0.2">
      <c r="E807" s="57"/>
    </row>
    <row r="808" spans="5:5" ht="12.75" x14ac:dyDescent="0.2">
      <c r="E808" s="57"/>
    </row>
    <row r="809" spans="5:5" ht="12.75" x14ac:dyDescent="0.2">
      <c r="E809" s="57"/>
    </row>
    <row r="810" spans="5:5" ht="12.75" x14ac:dyDescent="0.2">
      <c r="E810" s="57"/>
    </row>
    <row r="811" spans="5:5" ht="12.75" x14ac:dyDescent="0.2">
      <c r="E811" s="57"/>
    </row>
    <row r="812" spans="5:5" ht="12.75" x14ac:dyDescent="0.2">
      <c r="E812" s="57"/>
    </row>
    <row r="813" spans="5:5" ht="12.75" x14ac:dyDescent="0.2">
      <c r="E813" s="57"/>
    </row>
    <row r="814" spans="5:5" ht="12.75" x14ac:dyDescent="0.2">
      <c r="E814" s="57"/>
    </row>
    <row r="815" spans="5:5" ht="12.75" x14ac:dyDescent="0.2">
      <c r="E815" s="57"/>
    </row>
    <row r="816" spans="5:5" ht="12.75" x14ac:dyDescent="0.2">
      <c r="E816" s="57"/>
    </row>
    <row r="817" spans="5:5" ht="12.75" x14ac:dyDescent="0.2">
      <c r="E817" s="57"/>
    </row>
    <row r="818" spans="5:5" ht="12.75" x14ac:dyDescent="0.2">
      <c r="E818" s="57"/>
    </row>
    <row r="819" spans="5:5" ht="12.75" x14ac:dyDescent="0.2">
      <c r="E819" s="57"/>
    </row>
    <row r="820" spans="5:5" ht="12.75" x14ac:dyDescent="0.2">
      <c r="E820" s="57"/>
    </row>
    <row r="821" spans="5:5" ht="12.75" x14ac:dyDescent="0.2">
      <c r="E821" s="57"/>
    </row>
    <row r="822" spans="5:5" ht="12.75" x14ac:dyDescent="0.2">
      <c r="E822" s="57"/>
    </row>
    <row r="823" spans="5:5" ht="12.75" x14ac:dyDescent="0.2">
      <c r="E823" s="57"/>
    </row>
    <row r="824" spans="5:5" ht="12.75" x14ac:dyDescent="0.2">
      <c r="E824" s="57"/>
    </row>
    <row r="825" spans="5:5" ht="12.75" x14ac:dyDescent="0.2">
      <c r="E825" s="57"/>
    </row>
    <row r="826" spans="5:5" ht="12.75" x14ac:dyDescent="0.2">
      <c r="E826" s="57"/>
    </row>
    <row r="827" spans="5:5" ht="12.75" x14ac:dyDescent="0.2">
      <c r="E827" s="57"/>
    </row>
    <row r="828" spans="5:5" ht="12.75" x14ac:dyDescent="0.2">
      <c r="E828" s="57"/>
    </row>
    <row r="829" spans="5:5" ht="12.75" x14ac:dyDescent="0.2">
      <c r="E829" s="57"/>
    </row>
    <row r="830" spans="5:5" ht="12.75" x14ac:dyDescent="0.2">
      <c r="E830" s="57"/>
    </row>
    <row r="831" spans="5:5" ht="12.75" x14ac:dyDescent="0.2">
      <c r="E831" s="57"/>
    </row>
    <row r="832" spans="5:5" ht="12.75" x14ac:dyDescent="0.2">
      <c r="E832" s="57"/>
    </row>
    <row r="833" spans="5:5" ht="12.75" x14ac:dyDescent="0.2">
      <c r="E833" s="57"/>
    </row>
    <row r="834" spans="5:5" ht="12.75" x14ac:dyDescent="0.2">
      <c r="E834" s="57"/>
    </row>
    <row r="835" spans="5:5" ht="12.75" x14ac:dyDescent="0.2">
      <c r="E835" s="57"/>
    </row>
    <row r="836" spans="5:5" ht="12.75" x14ac:dyDescent="0.2">
      <c r="E836" s="57"/>
    </row>
    <row r="837" spans="5:5" ht="12.75" x14ac:dyDescent="0.2">
      <c r="E837" s="57"/>
    </row>
    <row r="838" spans="5:5" ht="12.75" x14ac:dyDescent="0.2">
      <c r="E838" s="57"/>
    </row>
    <row r="839" spans="5:5" ht="12.75" x14ac:dyDescent="0.2">
      <c r="E839" s="57"/>
    </row>
    <row r="840" spans="5:5" ht="12.75" x14ac:dyDescent="0.2">
      <c r="E840" s="57"/>
    </row>
    <row r="841" spans="5:5" ht="12.75" x14ac:dyDescent="0.2">
      <c r="E841" s="57"/>
    </row>
    <row r="842" spans="5:5" ht="12.75" x14ac:dyDescent="0.2">
      <c r="E842" s="57"/>
    </row>
    <row r="843" spans="5:5" ht="12.75" x14ac:dyDescent="0.2">
      <c r="E843" s="57"/>
    </row>
    <row r="844" spans="5:5" ht="12.75" x14ac:dyDescent="0.2">
      <c r="E844" s="57"/>
    </row>
    <row r="845" spans="5:5" ht="12.75" x14ac:dyDescent="0.2">
      <c r="E845" s="57"/>
    </row>
    <row r="846" spans="5:5" ht="12.75" x14ac:dyDescent="0.2">
      <c r="E846" s="57"/>
    </row>
    <row r="847" spans="5:5" ht="12.75" x14ac:dyDescent="0.2">
      <c r="E847" s="57"/>
    </row>
    <row r="848" spans="5:5" ht="12.75" x14ac:dyDescent="0.2">
      <c r="E848" s="57"/>
    </row>
    <row r="849" spans="5:5" ht="12.75" x14ac:dyDescent="0.2">
      <c r="E849" s="57"/>
    </row>
    <row r="850" spans="5:5" ht="12.75" x14ac:dyDescent="0.2">
      <c r="E850" s="57"/>
    </row>
    <row r="851" spans="5:5" ht="12.75" x14ac:dyDescent="0.2">
      <c r="E851" s="57"/>
    </row>
    <row r="852" spans="5:5" ht="12.75" x14ac:dyDescent="0.2">
      <c r="E852" s="57"/>
    </row>
    <row r="853" spans="5:5" ht="12.75" x14ac:dyDescent="0.2">
      <c r="E853" s="57"/>
    </row>
    <row r="854" spans="5:5" ht="12.75" x14ac:dyDescent="0.2">
      <c r="E854" s="57"/>
    </row>
    <row r="855" spans="5:5" ht="12.75" x14ac:dyDescent="0.2">
      <c r="E855" s="57"/>
    </row>
    <row r="856" spans="5:5" ht="12.75" x14ac:dyDescent="0.2">
      <c r="E856" s="57"/>
    </row>
    <row r="857" spans="5:5" ht="12.75" x14ac:dyDescent="0.2">
      <c r="E857" s="57"/>
    </row>
    <row r="858" spans="5:5" ht="12.75" x14ac:dyDescent="0.2">
      <c r="E858" s="57"/>
    </row>
    <row r="859" spans="5:5" ht="12.75" x14ac:dyDescent="0.2">
      <c r="E859" s="57"/>
    </row>
    <row r="860" spans="5:5" ht="12.75" x14ac:dyDescent="0.2">
      <c r="E860" s="57"/>
    </row>
    <row r="861" spans="5:5" ht="12.75" x14ac:dyDescent="0.2">
      <c r="E861" s="57"/>
    </row>
    <row r="862" spans="5:5" ht="12.75" x14ac:dyDescent="0.2">
      <c r="E862" s="57"/>
    </row>
    <row r="863" spans="5:5" ht="12.75" x14ac:dyDescent="0.2">
      <c r="E863" s="57"/>
    </row>
    <row r="864" spans="5:5" ht="12.75" x14ac:dyDescent="0.2">
      <c r="E864" s="57"/>
    </row>
    <row r="865" spans="5:5" ht="12.75" x14ac:dyDescent="0.2">
      <c r="E865" s="57"/>
    </row>
    <row r="866" spans="5:5" ht="12.75" x14ac:dyDescent="0.2">
      <c r="E866" s="57"/>
    </row>
    <row r="867" spans="5:5" ht="12.75" x14ac:dyDescent="0.2">
      <c r="E867" s="57"/>
    </row>
    <row r="868" spans="5:5" ht="12.75" x14ac:dyDescent="0.2">
      <c r="E868" s="57"/>
    </row>
    <row r="869" spans="5:5" ht="12.75" x14ac:dyDescent="0.2">
      <c r="E869" s="57"/>
    </row>
    <row r="870" spans="5:5" ht="12.75" x14ac:dyDescent="0.2">
      <c r="E870" s="57"/>
    </row>
    <row r="871" spans="5:5" ht="12.75" x14ac:dyDescent="0.2">
      <c r="E871" s="57"/>
    </row>
    <row r="872" spans="5:5" ht="12.75" x14ac:dyDescent="0.2">
      <c r="E872" s="57"/>
    </row>
    <row r="873" spans="5:5" ht="12.75" x14ac:dyDescent="0.2">
      <c r="E873" s="57"/>
    </row>
    <row r="874" spans="5:5" ht="12.75" x14ac:dyDescent="0.2">
      <c r="E874" s="57"/>
    </row>
    <row r="875" spans="5:5" ht="12.75" x14ac:dyDescent="0.2">
      <c r="E875" s="57"/>
    </row>
    <row r="876" spans="5:5" ht="12.75" x14ac:dyDescent="0.2">
      <c r="E876" s="57"/>
    </row>
    <row r="877" spans="5:5" ht="12.75" x14ac:dyDescent="0.2">
      <c r="E877" s="57"/>
    </row>
    <row r="878" spans="5:5" ht="12.75" x14ac:dyDescent="0.2">
      <c r="E878" s="57"/>
    </row>
    <row r="879" spans="5:5" ht="12.75" x14ac:dyDescent="0.2">
      <c r="E879" s="57"/>
    </row>
    <row r="880" spans="5:5" ht="12.75" x14ac:dyDescent="0.2">
      <c r="E880" s="57"/>
    </row>
    <row r="881" spans="5:5" ht="12.75" x14ac:dyDescent="0.2">
      <c r="E881" s="57"/>
    </row>
    <row r="882" spans="5:5" ht="12.75" x14ac:dyDescent="0.2">
      <c r="E882" s="57"/>
    </row>
    <row r="883" spans="5:5" ht="12.75" x14ac:dyDescent="0.2">
      <c r="E883" s="57"/>
    </row>
    <row r="884" spans="5:5" ht="12.75" x14ac:dyDescent="0.2">
      <c r="E884" s="57"/>
    </row>
    <row r="885" spans="5:5" ht="12.75" x14ac:dyDescent="0.2">
      <c r="E885" s="57"/>
    </row>
    <row r="886" spans="5:5" ht="12.75" x14ac:dyDescent="0.2">
      <c r="E886" s="57"/>
    </row>
    <row r="887" spans="5:5" ht="12.75" x14ac:dyDescent="0.2">
      <c r="E887" s="57"/>
    </row>
    <row r="888" spans="5:5" ht="12.75" x14ac:dyDescent="0.2">
      <c r="E888" s="57"/>
    </row>
    <row r="889" spans="5:5" ht="12.75" x14ac:dyDescent="0.2">
      <c r="E889" s="57"/>
    </row>
    <row r="890" spans="5:5" ht="12.75" x14ac:dyDescent="0.2">
      <c r="E890" s="57"/>
    </row>
    <row r="891" spans="5:5" ht="12.75" x14ac:dyDescent="0.2">
      <c r="E891" s="57"/>
    </row>
    <row r="892" spans="5:5" ht="12.75" x14ac:dyDescent="0.2">
      <c r="E892" s="57"/>
    </row>
    <row r="893" spans="5:5" ht="12.75" x14ac:dyDescent="0.2">
      <c r="E893" s="57"/>
    </row>
    <row r="894" spans="5:5" ht="12.75" x14ac:dyDescent="0.2">
      <c r="E894" s="57"/>
    </row>
    <row r="895" spans="5:5" ht="12.75" x14ac:dyDescent="0.2">
      <c r="E895" s="57"/>
    </row>
    <row r="896" spans="5:5" ht="12.75" x14ac:dyDescent="0.2">
      <c r="E896" s="57"/>
    </row>
    <row r="897" spans="5:5" ht="12.75" x14ac:dyDescent="0.2">
      <c r="E897" s="57"/>
    </row>
    <row r="898" spans="5:5" ht="12.75" x14ac:dyDescent="0.2">
      <c r="E898" s="57"/>
    </row>
    <row r="899" spans="5:5" ht="12.75" x14ac:dyDescent="0.2">
      <c r="E899" s="57"/>
    </row>
    <row r="900" spans="5:5" ht="12.75" x14ac:dyDescent="0.2">
      <c r="E900" s="57"/>
    </row>
    <row r="901" spans="5:5" ht="12.75" x14ac:dyDescent="0.2">
      <c r="E901" s="57"/>
    </row>
    <row r="902" spans="5:5" ht="12.75" x14ac:dyDescent="0.2">
      <c r="E902" s="57"/>
    </row>
    <row r="903" spans="5:5" ht="12.75" x14ac:dyDescent="0.2">
      <c r="E903" s="57"/>
    </row>
    <row r="904" spans="5:5" ht="12.75" x14ac:dyDescent="0.2">
      <c r="E904" s="57"/>
    </row>
    <row r="905" spans="5:5" ht="12.75" x14ac:dyDescent="0.2">
      <c r="E905" s="57"/>
    </row>
    <row r="906" spans="5:5" ht="12.75" x14ac:dyDescent="0.2">
      <c r="E906" s="57"/>
    </row>
    <row r="907" spans="5:5" ht="12.75" x14ac:dyDescent="0.2">
      <c r="E907" s="57"/>
    </row>
    <row r="908" spans="5:5" ht="12.75" x14ac:dyDescent="0.2">
      <c r="E908" s="57"/>
    </row>
    <row r="909" spans="5:5" ht="12.75" x14ac:dyDescent="0.2">
      <c r="E909" s="57"/>
    </row>
    <row r="910" spans="5:5" ht="12.75" x14ac:dyDescent="0.2">
      <c r="E910" s="57"/>
    </row>
    <row r="911" spans="5:5" ht="12.75" x14ac:dyDescent="0.2">
      <c r="E911" s="57"/>
    </row>
    <row r="912" spans="5:5" ht="12.75" x14ac:dyDescent="0.2">
      <c r="E912" s="57"/>
    </row>
    <row r="913" spans="5:5" ht="12.75" x14ac:dyDescent="0.2">
      <c r="E913" s="57"/>
    </row>
    <row r="914" spans="5:5" ht="12.75" x14ac:dyDescent="0.2">
      <c r="E914" s="57"/>
    </row>
    <row r="915" spans="5:5" ht="12.75" x14ac:dyDescent="0.2">
      <c r="E915" s="57"/>
    </row>
    <row r="916" spans="5:5" ht="12.75" x14ac:dyDescent="0.2">
      <c r="E916" s="57"/>
    </row>
    <row r="917" spans="5:5" ht="12.75" x14ac:dyDescent="0.2">
      <c r="E917" s="57"/>
    </row>
    <row r="918" spans="5:5" ht="12.75" x14ac:dyDescent="0.2">
      <c r="E918" s="57"/>
    </row>
    <row r="919" spans="5:5" ht="12.75" x14ac:dyDescent="0.2">
      <c r="E919" s="57"/>
    </row>
    <row r="920" spans="5:5" ht="12.75" x14ac:dyDescent="0.2">
      <c r="E920" s="57"/>
    </row>
    <row r="921" spans="5:5" ht="12.75" x14ac:dyDescent="0.2">
      <c r="E921" s="57"/>
    </row>
    <row r="922" spans="5:5" ht="12.75" x14ac:dyDescent="0.2">
      <c r="E922" s="57"/>
    </row>
    <row r="923" spans="5:5" ht="12.75" x14ac:dyDescent="0.2">
      <c r="E923" s="57"/>
    </row>
    <row r="924" spans="5:5" ht="12.75" x14ac:dyDescent="0.2">
      <c r="E924" s="57"/>
    </row>
    <row r="925" spans="5:5" ht="12.75" x14ac:dyDescent="0.2">
      <c r="E925" s="57"/>
    </row>
    <row r="926" spans="5:5" ht="12.75" x14ac:dyDescent="0.2">
      <c r="E926" s="57"/>
    </row>
    <row r="927" spans="5:5" ht="12.75" x14ac:dyDescent="0.2">
      <c r="E927" s="57"/>
    </row>
    <row r="928" spans="5:5" ht="12.75" x14ac:dyDescent="0.2">
      <c r="E928" s="57"/>
    </row>
    <row r="929" spans="5:5" ht="12.75" x14ac:dyDescent="0.2">
      <c r="E929" s="57"/>
    </row>
    <row r="930" spans="5:5" ht="12.75" x14ac:dyDescent="0.2">
      <c r="E930" s="57"/>
    </row>
    <row r="931" spans="5:5" ht="12.75" x14ac:dyDescent="0.2">
      <c r="E931" s="57"/>
    </row>
    <row r="932" spans="5:5" ht="12.75" x14ac:dyDescent="0.2">
      <c r="E932" s="57"/>
    </row>
    <row r="933" spans="5:5" ht="12.75" x14ac:dyDescent="0.2">
      <c r="E933" s="57"/>
    </row>
    <row r="934" spans="5:5" ht="12.75" x14ac:dyDescent="0.2">
      <c r="E934" s="57"/>
    </row>
    <row r="935" spans="5:5" ht="12.75" x14ac:dyDescent="0.2">
      <c r="E935" s="57"/>
    </row>
    <row r="936" spans="5:5" ht="12.75" x14ac:dyDescent="0.2">
      <c r="E936" s="57"/>
    </row>
    <row r="937" spans="5:5" ht="12.75" x14ac:dyDescent="0.2">
      <c r="E937" s="57"/>
    </row>
    <row r="938" spans="5:5" ht="12.75" x14ac:dyDescent="0.2">
      <c r="E938" s="57"/>
    </row>
    <row r="939" spans="5:5" ht="12.75" x14ac:dyDescent="0.2">
      <c r="E939" s="57"/>
    </row>
    <row r="940" spans="5:5" ht="12.75" x14ac:dyDescent="0.2">
      <c r="E940" s="57"/>
    </row>
    <row r="941" spans="5:5" ht="12.75" x14ac:dyDescent="0.2">
      <c r="E941" s="57"/>
    </row>
    <row r="942" spans="5:5" ht="12.75" x14ac:dyDescent="0.2">
      <c r="E942" s="57"/>
    </row>
    <row r="943" spans="5:5" ht="12.75" x14ac:dyDescent="0.2">
      <c r="E943" s="57"/>
    </row>
    <row r="944" spans="5:5" ht="12.75" x14ac:dyDescent="0.2">
      <c r="E944" s="57"/>
    </row>
    <row r="945" spans="5:5" ht="12.75" x14ac:dyDescent="0.2">
      <c r="E945" s="57"/>
    </row>
    <row r="946" spans="5:5" ht="12.75" x14ac:dyDescent="0.2">
      <c r="E946" s="57"/>
    </row>
    <row r="947" spans="5:5" ht="12.75" x14ac:dyDescent="0.2">
      <c r="E947" s="57"/>
    </row>
    <row r="948" spans="5:5" ht="12.75" x14ac:dyDescent="0.2">
      <c r="E948" s="57"/>
    </row>
    <row r="949" spans="5:5" ht="12.75" x14ac:dyDescent="0.2">
      <c r="E949" s="57"/>
    </row>
    <row r="950" spans="5:5" ht="12.75" x14ac:dyDescent="0.2">
      <c r="E950" s="57"/>
    </row>
    <row r="951" spans="5:5" ht="12.75" x14ac:dyDescent="0.2">
      <c r="E951" s="57"/>
    </row>
    <row r="952" spans="5:5" ht="12.75" x14ac:dyDescent="0.2">
      <c r="E952" s="57"/>
    </row>
    <row r="953" spans="5:5" ht="12.75" x14ac:dyDescent="0.2">
      <c r="E953" s="57"/>
    </row>
    <row r="954" spans="5:5" ht="12.75" x14ac:dyDescent="0.2">
      <c r="E954" s="57"/>
    </row>
    <row r="955" spans="5:5" ht="12.75" x14ac:dyDescent="0.2">
      <c r="E955" s="57"/>
    </row>
    <row r="956" spans="5:5" ht="12.75" x14ac:dyDescent="0.2">
      <c r="E956" s="57"/>
    </row>
    <row r="957" spans="5:5" ht="12.75" x14ac:dyDescent="0.2">
      <c r="E957" s="57"/>
    </row>
    <row r="958" spans="5:5" ht="12.75" x14ac:dyDescent="0.2">
      <c r="E958" s="57"/>
    </row>
    <row r="959" spans="5:5" ht="12.75" x14ac:dyDescent="0.2">
      <c r="E959" s="57"/>
    </row>
    <row r="960" spans="5:5" ht="12.75" x14ac:dyDescent="0.2">
      <c r="E960" s="57"/>
    </row>
    <row r="961" spans="5:5" ht="12.75" x14ac:dyDescent="0.2">
      <c r="E961" s="57"/>
    </row>
    <row r="962" spans="5:5" ht="12.75" x14ac:dyDescent="0.2">
      <c r="E962" s="57"/>
    </row>
    <row r="963" spans="5:5" ht="12.75" x14ac:dyDescent="0.2">
      <c r="E963" s="57"/>
    </row>
    <row r="964" spans="5:5" ht="12.75" x14ac:dyDescent="0.2">
      <c r="E964" s="57"/>
    </row>
    <row r="965" spans="5:5" ht="12.75" x14ac:dyDescent="0.2">
      <c r="E965" s="57"/>
    </row>
    <row r="966" spans="5:5" ht="12.75" x14ac:dyDescent="0.2">
      <c r="E966" s="57"/>
    </row>
    <row r="967" spans="5:5" ht="12.75" x14ac:dyDescent="0.2">
      <c r="E967" s="57"/>
    </row>
    <row r="968" spans="5:5" ht="12.75" x14ac:dyDescent="0.2">
      <c r="E968" s="57"/>
    </row>
    <row r="969" spans="5:5" ht="12.75" x14ac:dyDescent="0.2">
      <c r="E969" s="57"/>
    </row>
    <row r="970" spans="5:5" ht="12.75" x14ac:dyDescent="0.2">
      <c r="E970" s="57"/>
    </row>
    <row r="971" spans="5:5" ht="12.75" x14ac:dyDescent="0.2">
      <c r="E971" s="57"/>
    </row>
    <row r="972" spans="5:5" ht="12.75" x14ac:dyDescent="0.2">
      <c r="E972" s="57"/>
    </row>
    <row r="973" spans="5:5" ht="12.75" x14ac:dyDescent="0.2">
      <c r="E973" s="57"/>
    </row>
    <row r="974" spans="5:5" ht="12.75" x14ac:dyDescent="0.2">
      <c r="E974" s="57"/>
    </row>
    <row r="975" spans="5:5" ht="12.75" x14ac:dyDescent="0.2">
      <c r="E975" s="57"/>
    </row>
    <row r="976" spans="5:5" ht="12.75" x14ac:dyDescent="0.2">
      <c r="E976" s="57"/>
    </row>
    <row r="977" spans="5:5" ht="12.75" x14ac:dyDescent="0.2">
      <c r="E977" s="57"/>
    </row>
    <row r="978" spans="5:5" ht="12.75" x14ac:dyDescent="0.2">
      <c r="E978" s="57"/>
    </row>
    <row r="979" spans="5:5" ht="12.75" x14ac:dyDescent="0.2">
      <c r="E979" s="57"/>
    </row>
    <row r="980" spans="5:5" ht="12.75" x14ac:dyDescent="0.2">
      <c r="E980" s="57"/>
    </row>
    <row r="981" spans="5:5" ht="12.75" x14ac:dyDescent="0.2">
      <c r="E981" s="57"/>
    </row>
    <row r="982" spans="5:5" ht="12.75" x14ac:dyDescent="0.2">
      <c r="E982" s="57"/>
    </row>
    <row r="983" spans="5:5" ht="12.75" x14ac:dyDescent="0.2">
      <c r="E983" s="57"/>
    </row>
    <row r="984" spans="5:5" ht="12.75" x14ac:dyDescent="0.2">
      <c r="E984" s="57"/>
    </row>
    <row r="985" spans="5:5" ht="12.75" x14ac:dyDescent="0.2">
      <c r="E985" s="57"/>
    </row>
    <row r="986" spans="5:5" ht="12.75" x14ac:dyDescent="0.2">
      <c r="E986" s="57"/>
    </row>
    <row r="987" spans="5:5" ht="12.75" x14ac:dyDescent="0.2">
      <c r="E987" s="57"/>
    </row>
    <row r="988" spans="5:5" ht="12.75" x14ac:dyDescent="0.2">
      <c r="E988" s="57"/>
    </row>
    <row r="989" spans="5:5" ht="12.75" x14ac:dyDescent="0.2">
      <c r="E989" s="57"/>
    </row>
    <row r="990" spans="5:5" ht="12.75" x14ac:dyDescent="0.2">
      <c r="E990" s="57"/>
    </row>
    <row r="991" spans="5:5" ht="12.75" x14ac:dyDescent="0.2">
      <c r="E991" s="57"/>
    </row>
    <row r="992" spans="5:5" ht="12.75" x14ac:dyDescent="0.2">
      <c r="E992" s="57"/>
    </row>
    <row r="993" spans="5:5" ht="12.75" x14ac:dyDescent="0.2">
      <c r="E993" s="57"/>
    </row>
    <row r="994" spans="5:5" ht="12.75" x14ac:dyDescent="0.2">
      <c r="E994" s="57"/>
    </row>
    <row r="995" spans="5:5" ht="12.75" x14ac:dyDescent="0.2">
      <c r="E995" s="57"/>
    </row>
    <row r="996" spans="5:5" ht="12.75" x14ac:dyDescent="0.2">
      <c r="E996" s="57"/>
    </row>
    <row r="997" spans="5:5" ht="12.75" x14ac:dyDescent="0.2">
      <c r="E997" s="57"/>
    </row>
    <row r="998" spans="5:5" ht="12.75" x14ac:dyDescent="0.2">
      <c r="E998" s="57"/>
    </row>
    <row r="999" spans="5:5" ht="12.75" x14ac:dyDescent="0.2">
      <c r="E999" s="57"/>
    </row>
    <row r="1000" spans="5:5" ht="12.75" x14ac:dyDescent="0.2">
      <c r="E1000" s="5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98"/>
  <sheetViews>
    <sheetView workbookViewId="0">
      <selection activeCell="B15" sqref="B15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7" t="s">
        <v>11</v>
      </c>
      <c r="M1" s="9" t="s">
        <v>12</v>
      </c>
      <c r="N1" s="7" t="s">
        <v>14</v>
      </c>
      <c r="O1" s="7" t="s">
        <v>15</v>
      </c>
    </row>
    <row r="2" spans="1:15" ht="15.75" customHeight="1" x14ac:dyDescent="0.2">
      <c r="A2" s="11" t="s">
        <v>19</v>
      </c>
      <c r="B2" s="13" t="s">
        <v>20</v>
      </c>
      <c r="C2" s="15">
        <v>43915.604166666664</v>
      </c>
      <c r="D2" s="17">
        <v>0.60416666666666663</v>
      </c>
      <c r="E2" s="19">
        <v>0</v>
      </c>
      <c r="F2" s="21">
        <v>201.67</v>
      </c>
      <c r="G2" s="21">
        <v>98.65</v>
      </c>
      <c r="H2" s="21">
        <v>103.02</v>
      </c>
      <c r="I2" s="21">
        <v>190</v>
      </c>
      <c r="J2" s="21">
        <v>1092.8</v>
      </c>
      <c r="K2" s="23">
        <v>1092</v>
      </c>
      <c r="L2" s="21">
        <v>22.3</v>
      </c>
      <c r="M2" s="24">
        <v>21.1</v>
      </c>
      <c r="N2" s="21">
        <v>51</v>
      </c>
      <c r="O2" s="26">
        <v>424</v>
      </c>
    </row>
    <row r="3" spans="1:15" ht="15.75" customHeight="1" x14ac:dyDescent="0.2">
      <c r="A3" s="28" t="s">
        <v>24</v>
      </c>
      <c r="B3" s="30" t="s">
        <v>25</v>
      </c>
      <c r="C3" s="31">
        <v>43915.87222222222</v>
      </c>
      <c r="D3" s="32">
        <v>0.87222222222222223</v>
      </c>
      <c r="E3" s="34">
        <f>30+5*60+56</f>
        <v>386</v>
      </c>
      <c r="F3" s="30">
        <v>153.13</v>
      </c>
      <c r="G3" s="30">
        <v>75.540000000000006</v>
      </c>
      <c r="H3" s="30">
        <v>77.58</v>
      </c>
      <c r="I3" s="30">
        <v>174</v>
      </c>
      <c r="J3" s="30">
        <v>1073.5999999999999</v>
      </c>
      <c r="K3" s="34">
        <v>1088</v>
      </c>
      <c r="L3" s="30">
        <v>17.899999999999999</v>
      </c>
      <c r="M3" s="36">
        <v>23.6</v>
      </c>
      <c r="N3" s="30">
        <v>72</v>
      </c>
      <c r="O3" s="38">
        <v>531</v>
      </c>
    </row>
    <row r="4" spans="1:15" ht="15.75" customHeight="1" x14ac:dyDescent="0.2">
      <c r="A4" s="28" t="s">
        <v>27</v>
      </c>
      <c r="B4" s="30" t="s">
        <v>29</v>
      </c>
      <c r="C4" s="40">
        <v>43916.652777777781</v>
      </c>
      <c r="D4" s="32">
        <v>0.65277777777777779</v>
      </c>
      <c r="E4" s="34">
        <f>4+(24-21)*60+15*60+40+E3</f>
        <v>1510</v>
      </c>
      <c r="F4" s="30">
        <v>157.41999999999999</v>
      </c>
      <c r="G4" s="30">
        <v>70.69</v>
      </c>
      <c r="H4" s="30">
        <v>86.73</v>
      </c>
      <c r="I4" s="30">
        <v>61</v>
      </c>
      <c r="J4" s="30">
        <v>1070.2</v>
      </c>
      <c r="K4" s="34">
        <v>1075</v>
      </c>
      <c r="L4" s="30">
        <v>17.2</v>
      </c>
      <c r="M4" s="36">
        <v>25.5</v>
      </c>
      <c r="N4" s="30">
        <v>169</v>
      </c>
      <c r="O4" s="38">
        <v>603</v>
      </c>
    </row>
    <row r="5" spans="1:15" ht="15.75" customHeight="1" x14ac:dyDescent="0.2">
      <c r="A5" s="28" t="s">
        <v>31</v>
      </c>
      <c r="B5" s="30" t="s">
        <v>32</v>
      </c>
      <c r="C5" s="40">
        <v>43917.081250000003</v>
      </c>
      <c r="D5" s="32">
        <v>8.1250000000000003E-2</v>
      </c>
      <c r="E5" s="34">
        <f>20+(24-16)*60+60+57+E4</f>
        <v>2127</v>
      </c>
      <c r="F5" s="41">
        <v>148.38999999999999</v>
      </c>
      <c r="G5" s="41">
        <v>61.77</v>
      </c>
      <c r="H5" s="30">
        <v>86.61</v>
      </c>
      <c r="I5" s="30">
        <v>66</v>
      </c>
      <c r="J5" s="30">
        <v>1065.9000000000001</v>
      </c>
      <c r="K5" s="34">
        <v>1063</v>
      </c>
      <c r="L5" s="30">
        <v>16.3</v>
      </c>
      <c r="M5" s="36">
        <v>25.8</v>
      </c>
      <c r="N5" s="30">
        <v>241</v>
      </c>
      <c r="O5" s="38">
        <v>749</v>
      </c>
    </row>
    <row r="6" spans="1:15" ht="15.75" customHeight="1" x14ac:dyDescent="0.2">
      <c r="A6" s="28" t="s">
        <v>35</v>
      </c>
      <c r="B6" s="30" t="s">
        <v>38</v>
      </c>
      <c r="C6" s="40">
        <v>43917.395833333336</v>
      </c>
      <c r="D6" s="32">
        <v>0.19097222222222221</v>
      </c>
      <c r="E6" s="34">
        <f>3+2*60+35+E5</f>
        <v>2285</v>
      </c>
      <c r="F6" s="30">
        <v>133.53</v>
      </c>
      <c r="G6" s="30">
        <v>55.23</v>
      </c>
      <c r="H6" s="30">
        <v>78.3</v>
      </c>
      <c r="I6" s="30">
        <v>128</v>
      </c>
      <c r="J6" s="36">
        <v>1061.8</v>
      </c>
      <c r="K6" s="34">
        <v>1050</v>
      </c>
      <c r="L6" s="36">
        <v>15.4</v>
      </c>
      <c r="M6" s="36">
        <v>25.4</v>
      </c>
      <c r="N6" s="30">
        <v>254</v>
      </c>
      <c r="O6" s="38">
        <v>756</v>
      </c>
    </row>
    <row r="7" spans="1:15" ht="15.75" customHeight="1" x14ac:dyDescent="0.2">
      <c r="A7" s="28" t="s">
        <v>37</v>
      </c>
      <c r="B7" s="30" t="s">
        <v>36</v>
      </c>
      <c r="C7" s="40">
        <v>43917.190972222219</v>
      </c>
      <c r="D7" s="32">
        <v>0.39583333333333331</v>
      </c>
      <c r="E7" s="34">
        <f>25+30+4*60+E6</f>
        <v>2580</v>
      </c>
      <c r="F7" s="41">
        <v>110.65</v>
      </c>
      <c r="G7" s="30">
        <v>48.72</v>
      </c>
      <c r="H7" s="30">
        <v>61.93</v>
      </c>
      <c r="I7" s="30">
        <v>64</v>
      </c>
      <c r="J7" s="30">
        <v>1049.9000000000001</v>
      </c>
      <c r="K7" s="34">
        <v>1063</v>
      </c>
      <c r="L7" s="36">
        <v>12.4</v>
      </c>
      <c r="M7" s="36">
        <v>25.6</v>
      </c>
      <c r="N7" s="30">
        <v>239</v>
      </c>
      <c r="O7" s="38">
        <v>754</v>
      </c>
    </row>
    <row r="8" spans="1:15" ht="15.75" customHeight="1" x14ac:dyDescent="0.2">
      <c r="A8" s="28" t="s">
        <v>41</v>
      </c>
      <c r="B8" s="30" t="s">
        <v>42</v>
      </c>
      <c r="C8" s="40">
        <v>43917.6875</v>
      </c>
      <c r="D8" s="32">
        <v>0.6875</v>
      </c>
      <c r="E8" s="34">
        <f>7*60+E6</f>
        <v>2705</v>
      </c>
      <c r="F8" s="30">
        <v>96.09</v>
      </c>
      <c r="G8" s="30">
        <v>32.659999999999997</v>
      </c>
      <c r="H8" s="41">
        <v>64.430000000000007</v>
      </c>
      <c r="I8" s="30">
        <v>62</v>
      </c>
      <c r="J8" s="36">
        <v>1042.2</v>
      </c>
      <c r="K8" s="34">
        <v>1042</v>
      </c>
      <c r="L8" s="36">
        <v>10.6</v>
      </c>
      <c r="M8" s="36">
        <v>26.2</v>
      </c>
      <c r="N8" s="30">
        <v>238</v>
      </c>
      <c r="O8" s="38">
        <v>783</v>
      </c>
    </row>
    <row r="9" spans="1:15" ht="15.75" customHeight="1" x14ac:dyDescent="0.2">
      <c r="A9" s="28" t="s">
        <v>44</v>
      </c>
      <c r="B9" s="30" t="s">
        <v>45</v>
      </c>
      <c r="C9" s="40">
        <v>43918.381944444445</v>
      </c>
      <c r="D9" s="32">
        <v>0.38194444444444442</v>
      </c>
      <c r="E9" s="34">
        <f>30+(24-17)*60+9*60+10+E8</f>
        <v>3705</v>
      </c>
      <c r="F9" s="30">
        <v>62.22</v>
      </c>
      <c r="G9" s="30">
        <v>16.46</v>
      </c>
      <c r="H9" s="41">
        <v>45.76</v>
      </c>
      <c r="I9" s="30">
        <v>68</v>
      </c>
      <c r="J9" s="36">
        <v>1025.3</v>
      </c>
      <c r="K9" s="34">
        <v>1025</v>
      </c>
      <c r="L9" s="36">
        <v>6.6</v>
      </c>
      <c r="M9" s="36">
        <v>26.5</v>
      </c>
      <c r="N9" s="30">
        <v>317</v>
      </c>
      <c r="O9" s="38">
        <v>868</v>
      </c>
    </row>
    <row r="10" spans="1:15" ht="15.75" customHeight="1" x14ac:dyDescent="0.2">
      <c r="A10" s="43" t="s">
        <v>49</v>
      </c>
      <c r="B10" s="44" t="s">
        <v>51</v>
      </c>
      <c r="C10" s="46">
        <v>43920.645833333336</v>
      </c>
      <c r="D10" s="47">
        <v>0.64583333333333337</v>
      </c>
      <c r="E10" s="49">
        <f>50+(24-10)*60+24*60+15*60+30+E9</f>
        <v>6965</v>
      </c>
      <c r="F10" s="44">
        <v>0.35</v>
      </c>
      <c r="G10" s="44">
        <v>0.1</v>
      </c>
      <c r="H10" s="52">
        <v>0.26</v>
      </c>
      <c r="I10" s="44">
        <v>40</v>
      </c>
      <c r="J10" s="44">
        <v>994.6</v>
      </c>
      <c r="K10" s="49">
        <v>993</v>
      </c>
      <c r="L10" s="44">
        <v>-1.2</v>
      </c>
      <c r="M10" s="54">
        <v>21.3</v>
      </c>
      <c r="N10" s="44">
        <v>312</v>
      </c>
      <c r="O10" s="56">
        <v>876</v>
      </c>
    </row>
    <row r="11" spans="1:15" ht="15.75" customHeight="1" x14ac:dyDescent="0.2">
      <c r="E11" s="57"/>
      <c r="K11" s="57"/>
    </row>
    <row r="12" spans="1:15" ht="15.75" customHeight="1" x14ac:dyDescent="0.2">
      <c r="E12" s="57"/>
      <c r="K12" s="57"/>
    </row>
    <row r="13" spans="1:15" ht="15.75" customHeight="1" x14ac:dyDescent="0.2">
      <c r="E13" s="57"/>
      <c r="K13" s="57"/>
    </row>
    <row r="14" spans="1:15" ht="15.75" customHeight="1" x14ac:dyDescent="0.2">
      <c r="E14" s="57"/>
      <c r="K14" s="57"/>
    </row>
    <row r="15" spans="1:15" ht="15.75" customHeight="1" x14ac:dyDescent="0.2">
      <c r="E15" s="57"/>
      <c r="K15" s="57"/>
    </row>
    <row r="16" spans="1:15" ht="15.75" customHeight="1" x14ac:dyDescent="0.2">
      <c r="E16" s="57"/>
      <c r="K16" s="57"/>
    </row>
    <row r="17" spans="5:11" ht="15.75" customHeight="1" x14ac:dyDescent="0.2">
      <c r="E17" s="57"/>
      <c r="K17" s="57"/>
    </row>
    <row r="18" spans="5:11" ht="15.75" customHeight="1" x14ac:dyDescent="0.2">
      <c r="E18" s="57"/>
      <c r="K18" s="57"/>
    </row>
    <row r="19" spans="5:11" ht="15.75" customHeight="1" x14ac:dyDescent="0.2">
      <c r="E19" s="57"/>
      <c r="K19" s="57"/>
    </row>
    <row r="20" spans="5:11" ht="15.75" customHeight="1" x14ac:dyDescent="0.2">
      <c r="E20" s="57"/>
      <c r="K20" s="57"/>
    </row>
    <row r="21" spans="5:11" ht="15.75" customHeight="1" x14ac:dyDescent="0.2">
      <c r="E21" s="57"/>
      <c r="K21" s="57"/>
    </row>
    <row r="22" spans="5:11" ht="15.75" customHeight="1" x14ac:dyDescent="0.2">
      <c r="E22" s="57"/>
      <c r="K22" s="57"/>
    </row>
    <row r="23" spans="5:11" ht="15.75" customHeight="1" x14ac:dyDescent="0.2">
      <c r="E23" s="57"/>
      <c r="K23" s="57"/>
    </row>
    <row r="24" spans="5:11" ht="15.75" customHeight="1" x14ac:dyDescent="0.2">
      <c r="E24" s="57"/>
      <c r="K24" s="57"/>
    </row>
    <row r="25" spans="5:11" ht="15.75" customHeight="1" x14ac:dyDescent="0.2">
      <c r="E25" s="57"/>
      <c r="K25" s="57"/>
    </row>
    <row r="26" spans="5:11" ht="15.75" customHeight="1" x14ac:dyDescent="0.2">
      <c r="E26" s="57"/>
      <c r="K26" s="57"/>
    </row>
    <row r="27" spans="5:11" ht="15.75" customHeight="1" x14ac:dyDescent="0.2">
      <c r="E27" s="57"/>
      <c r="K27" s="57"/>
    </row>
    <row r="28" spans="5:11" ht="15.75" customHeight="1" x14ac:dyDescent="0.2">
      <c r="E28" s="57"/>
      <c r="K28" s="57"/>
    </row>
    <row r="29" spans="5:11" ht="15.75" customHeight="1" x14ac:dyDescent="0.2">
      <c r="E29" s="57"/>
      <c r="K29" s="57"/>
    </row>
    <row r="30" spans="5:11" ht="15.75" customHeight="1" x14ac:dyDescent="0.2">
      <c r="E30" s="57"/>
      <c r="K30" s="57"/>
    </row>
    <row r="31" spans="5:11" ht="15.75" customHeight="1" x14ac:dyDescent="0.2">
      <c r="E31" s="57"/>
      <c r="K31" s="57"/>
    </row>
    <row r="32" spans="5:11" ht="15.75" customHeight="1" x14ac:dyDescent="0.2">
      <c r="E32" s="57"/>
      <c r="K32" s="57"/>
    </row>
    <row r="33" spans="5:11" ht="15.75" customHeight="1" x14ac:dyDescent="0.2">
      <c r="E33" s="57"/>
      <c r="K33" s="57"/>
    </row>
    <row r="34" spans="5:11" ht="15.75" customHeight="1" x14ac:dyDescent="0.2">
      <c r="E34" s="57"/>
      <c r="K34" s="57"/>
    </row>
    <row r="35" spans="5:11" ht="15.75" customHeight="1" x14ac:dyDescent="0.2">
      <c r="E35" s="57"/>
      <c r="K35" s="57"/>
    </row>
    <row r="36" spans="5:11" ht="12.75" x14ac:dyDescent="0.2">
      <c r="E36" s="57"/>
      <c r="K36" s="57"/>
    </row>
    <row r="37" spans="5:11" ht="12.75" x14ac:dyDescent="0.2">
      <c r="E37" s="57"/>
      <c r="K37" s="57"/>
    </row>
    <row r="38" spans="5:11" ht="12.75" x14ac:dyDescent="0.2">
      <c r="E38" s="57"/>
      <c r="K38" s="57"/>
    </row>
    <row r="39" spans="5:11" ht="12.75" x14ac:dyDescent="0.2">
      <c r="E39" s="57"/>
      <c r="K39" s="57"/>
    </row>
    <row r="40" spans="5:11" ht="12.75" x14ac:dyDescent="0.2">
      <c r="E40" s="57"/>
      <c r="K40" s="57"/>
    </row>
    <row r="41" spans="5:11" ht="12.75" x14ac:dyDescent="0.2">
      <c r="E41" s="57"/>
      <c r="K41" s="57"/>
    </row>
    <row r="42" spans="5:11" ht="12.75" x14ac:dyDescent="0.2">
      <c r="E42" s="57"/>
      <c r="K42" s="57"/>
    </row>
    <row r="43" spans="5:11" ht="12.75" x14ac:dyDescent="0.2">
      <c r="E43" s="57"/>
      <c r="K43" s="57"/>
    </row>
    <row r="44" spans="5:11" ht="12.75" x14ac:dyDescent="0.2">
      <c r="E44" s="57"/>
      <c r="K44" s="57"/>
    </row>
    <row r="45" spans="5:11" ht="12.75" x14ac:dyDescent="0.2">
      <c r="E45" s="57"/>
      <c r="K45" s="57"/>
    </row>
    <row r="46" spans="5:11" ht="12.75" x14ac:dyDescent="0.2">
      <c r="E46" s="57"/>
      <c r="K46" s="57"/>
    </row>
    <row r="47" spans="5:11" ht="12.75" x14ac:dyDescent="0.2">
      <c r="E47" s="57"/>
      <c r="K47" s="57"/>
    </row>
    <row r="48" spans="5:11" ht="12.75" x14ac:dyDescent="0.2">
      <c r="E48" s="57"/>
      <c r="K48" s="57"/>
    </row>
    <row r="49" spans="5:11" ht="12.75" x14ac:dyDescent="0.2">
      <c r="E49" s="57"/>
      <c r="K49" s="57"/>
    </row>
    <row r="50" spans="5:11" ht="12.75" x14ac:dyDescent="0.2">
      <c r="E50" s="57"/>
      <c r="K50" s="57"/>
    </row>
    <row r="51" spans="5:11" ht="12.75" x14ac:dyDescent="0.2">
      <c r="E51" s="57"/>
      <c r="K51" s="57"/>
    </row>
    <row r="52" spans="5:11" ht="12.75" x14ac:dyDescent="0.2">
      <c r="E52" s="57"/>
      <c r="K52" s="57"/>
    </row>
    <row r="53" spans="5:11" ht="12.75" x14ac:dyDescent="0.2">
      <c r="E53" s="57"/>
      <c r="K53" s="57"/>
    </row>
    <row r="54" spans="5:11" ht="12.75" x14ac:dyDescent="0.2">
      <c r="E54" s="57"/>
      <c r="K54" s="57"/>
    </row>
    <row r="55" spans="5:11" ht="12.75" x14ac:dyDescent="0.2">
      <c r="E55" s="57"/>
      <c r="K55" s="57"/>
    </row>
    <row r="56" spans="5:11" ht="12.75" x14ac:dyDescent="0.2">
      <c r="E56" s="57"/>
      <c r="K56" s="57"/>
    </row>
    <row r="57" spans="5:11" ht="12.75" x14ac:dyDescent="0.2">
      <c r="E57" s="57"/>
      <c r="K57" s="57"/>
    </row>
    <row r="58" spans="5:11" ht="12.75" x14ac:dyDescent="0.2">
      <c r="E58" s="57"/>
      <c r="K58" s="57"/>
    </row>
    <row r="59" spans="5:11" ht="12.75" x14ac:dyDescent="0.2">
      <c r="E59" s="57"/>
      <c r="K59" s="57"/>
    </row>
    <row r="60" spans="5:11" ht="12.75" x14ac:dyDescent="0.2">
      <c r="E60" s="57"/>
      <c r="K60" s="57"/>
    </row>
    <row r="61" spans="5:11" ht="12.75" x14ac:dyDescent="0.2">
      <c r="E61" s="57"/>
      <c r="K61" s="57"/>
    </row>
    <row r="62" spans="5:11" ht="12.75" x14ac:dyDescent="0.2">
      <c r="E62" s="57"/>
      <c r="K62" s="57"/>
    </row>
    <row r="63" spans="5:11" ht="12.75" x14ac:dyDescent="0.2">
      <c r="E63" s="57"/>
      <c r="K63" s="57"/>
    </row>
    <row r="64" spans="5:11" ht="12.75" x14ac:dyDescent="0.2">
      <c r="E64" s="57"/>
      <c r="K64" s="57"/>
    </row>
    <row r="65" spans="5:11" ht="12.75" x14ac:dyDescent="0.2">
      <c r="E65" s="57"/>
      <c r="K65" s="57"/>
    </row>
    <row r="66" spans="5:11" ht="12.75" x14ac:dyDescent="0.2">
      <c r="E66" s="57"/>
      <c r="K66" s="57"/>
    </row>
    <row r="67" spans="5:11" ht="12.75" x14ac:dyDescent="0.2">
      <c r="E67" s="57"/>
      <c r="K67" s="57"/>
    </row>
    <row r="68" spans="5:11" ht="12.75" x14ac:dyDescent="0.2">
      <c r="E68" s="57"/>
      <c r="K68" s="57"/>
    </row>
    <row r="69" spans="5:11" ht="12.75" x14ac:dyDescent="0.2">
      <c r="E69" s="57"/>
      <c r="K69" s="57"/>
    </row>
    <row r="70" spans="5:11" ht="12.75" x14ac:dyDescent="0.2">
      <c r="E70" s="57"/>
      <c r="K70" s="57"/>
    </row>
    <row r="71" spans="5:11" ht="12.75" x14ac:dyDescent="0.2">
      <c r="E71" s="57"/>
      <c r="K71" s="57"/>
    </row>
    <row r="72" spans="5:11" ht="12.75" x14ac:dyDescent="0.2">
      <c r="E72" s="57"/>
      <c r="K72" s="57"/>
    </row>
    <row r="73" spans="5:11" ht="12.75" x14ac:dyDescent="0.2">
      <c r="E73" s="57"/>
      <c r="K73" s="57"/>
    </row>
    <row r="74" spans="5:11" ht="12.75" x14ac:dyDescent="0.2">
      <c r="E74" s="57"/>
      <c r="K74" s="57"/>
    </row>
    <row r="75" spans="5:11" ht="12.75" x14ac:dyDescent="0.2">
      <c r="E75" s="57"/>
      <c r="K75" s="57"/>
    </row>
    <row r="76" spans="5:11" ht="12.75" x14ac:dyDescent="0.2">
      <c r="E76" s="57"/>
      <c r="K76" s="57"/>
    </row>
    <row r="77" spans="5:11" ht="12.75" x14ac:dyDescent="0.2">
      <c r="E77" s="57"/>
      <c r="K77" s="57"/>
    </row>
    <row r="78" spans="5:11" ht="12.75" x14ac:dyDescent="0.2">
      <c r="E78" s="57"/>
      <c r="K78" s="57"/>
    </row>
    <row r="79" spans="5:11" ht="12.75" x14ac:dyDescent="0.2">
      <c r="E79" s="57"/>
      <c r="K79" s="57"/>
    </row>
    <row r="80" spans="5:11" ht="12.75" x14ac:dyDescent="0.2">
      <c r="E80" s="57"/>
      <c r="K80" s="57"/>
    </row>
    <row r="81" spans="5:11" ht="12.75" x14ac:dyDescent="0.2">
      <c r="E81" s="57"/>
      <c r="K81" s="57"/>
    </row>
    <row r="82" spans="5:11" ht="12.75" x14ac:dyDescent="0.2">
      <c r="E82" s="57"/>
      <c r="K82" s="57"/>
    </row>
    <row r="83" spans="5:11" ht="12.75" x14ac:dyDescent="0.2">
      <c r="E83" s="57"/>
      <c r="K83" s="57"/>
    </row>
    <row r="84" spans="5:11" ht="12.75" x14ac:dyDescent="0.2">
      <c r="E84" s="57"/>
      <c r="K84" s="57"/>
    </row>
    <row r="85" spans="5:11" ht="12.75" x14ac:dyDescent="0.2">
      <c r="E85" s="57"/>
      <c r="K85" s="57"/>
    </row>
    <row r="86" spans="5:11" ht="12.75" x14ac:dyDescent="0.2">
      <c r="E86" s="57"/>
      <c r="K86" s="57"/>
    </row>
    <row r="87" spans="5:11" ht="12.75" x14ac:dyDescent="0.2">
      <c r="E87" s="57"/>
      <c r="K87" s="57"/>
    </row>
    <row r="88" spans="5:11" ht="12.75" x14ac:dyDescent="0.2">
      <c r="E88" s="57"/>
      <c r="K88" s="57"/>
    </row>
    <row r="89" spans="5:11" ht="12.75" x14ac:dyDescent="0.2">
      <c r="E89" s="57"/>
      <c r="K89" s="57"/>
    </row>
    <row r="90" spans="5:11" ht="12.75" x14ac:dyDescent="0.2">
      <c r="E90" s="57"/>
      <c r="K90" s="57"/>
    </row>
    <row r="91" spans="5:11" ht="12.75" x14ac:dyDescent="0.2">
      <c r="E91" s="57"/>
      <c r="K91" s="57"/>
    </row>
    <row r="92" spans="5:11" ht="12.75" x14ac:dyDescent="0.2">
      <c r="E92" s="57"/>
      <c r="K92" s="57"/>
    </row>
    <row r="93" spans="5:11" ht="12.75" x14ac:dyDescent="0.2">
      <c r="E93" s="57"/>
      <c r="K93" s="57"/>
    </row>
    <row r="94" spans="5:11" ht="12.75" x14ac:dyDescent="0.2">
      <c r="E94" s="57"/>
      <c r="K94" s="57"/>
    </row>
    <row r="95" spans="5:11" ht="12.75" x14ac:dyDescent="0.2">
      <c r="E95" s="57"/>
      <c r="K95" s="57"/>
    </row>
    <row r="96" spans="5:11" ht="12.75" x14ac:dyDescent="0.2">
      <c r="E96" s="57"/>
      <c r="K96" s="57"/>
    </row>
    <row r="97" spans="5:11" ht="12.75" x14ac:dyDescent="0.2">
      <c r="E97" s="57"/>
      <c r="K97" s="57"/>
    </row>
    <row r="98" spans="5:11" ht="12.75" x14ac:dyDescent="0.2">
      <c r="E98" s="57"/>
      <c r="K98" s="57"/>
    </row>
    <row r="99" spans="5:11" ht="12.75" x14ac:dyDescent="0.2">
      <c r="E99" s="57"/>
      <c r="K99" s="57"/>
    </row>
    <row r="100" spans="5:11" ht="12.75" x14ac:dyDescent="0.2">
      <c r="E100" s="57"/>
      <c r="K100" s="57"/>
    </row>
    <row r="101" spans="5:11" ht="12.75" x14ac:dyDescent="0.2">
      <c r="E101" s="57"/>
      <c r="K101" s="57"/>
    </row>
    <row r="102" spans="5:11" ht="12.75" x14ac:dyDescent="0.2">
      <c r="E102" s="57"/>
      <c r="K102" s="57"/>
    </row>
    <row r="103" spans="5:11" ht="12.75" x14ac:dyDescent="0.2">
      <c r="E103" s="57"/>
      <c r="K103" s="57"/>
    </row>
    <row r="104" spans="5:11" ht="12.75" x14ac:dyDescent="0.2">
      <c r="E104" s="57"/>
      <c r="K104" s="57"/>
    </row>
    <row r="105" spans="5:11" ht="12.75" x14ac:dyDescent="0.2">
      <c r="E105" s="57"/>
      <c r="K105" s="57"/>
    </row>
    <row r="106" spans="5:11" ht="12.75" x14ac:dyDescent="0.2">
      <c r="E106" s="57"/>
      <c r="K106" s="57"/>
    </row>
    <row r="107" spans="5:11" ht="12.75" x14ac:dyDescent="0.2">
      <c r="E107" s="57"/>
      <c r="K107" s="57"/>
    </row>
    <row r="108" spans="5:11" ht="12.75" x14ac:dyDescent="0.2">
      <c r="E108" s="57"/>
      <c r="K108" s="57"/>
    </row>
    <row r="109" spans="5:11" ht="12.75" x14ac:dyDescent="0.2">
      <c r="E109" s="57"/>
      <c r="K109" s="57"/>
    </row>
    <row r="110" spans="5:11" ht="12.75" x14ac:dyDescent="0.2">
      <c r="E110" s="57"/>
      <c r="K110" s="57"/>
    </row>
    <row r="111" spans="5:11" ht="12.75" x14ac:dyDescent="0.2">
      <c r="E111" s="57"/>
      <c r="K111" s="57"/>
    </row>
    <row r="112" spans="5:11" ht="12.75" x14ac:dyDescent="0.2">
      <c r="E112" s="57"/>
      <c r="K112" s="57"/>
    </row>
    <row r="113" spans="5:11" ht="12.75" x14ac:dyDescent="0.2">
      <c r="E113" s="57"/>
      <c r="K113" s="57"/>
    </row>
    <row r="114" spans="5:11" ht="12.75" x14ac:dyDescent="0.2">
      <c r="E114" s="57"/>
      <c r="K114" s="57"/>
    </row>
    <row r="115" spans="5:11" ht="12.75" x14ac:dyDescent="0.2">
      <c r="E115" s="57"/>
      <c r="K115" s="57"/>
    </row>
    <row r="116" spans="5:11" ht="12.75" x14ac:dyDescent="0.2">
      <c r="E116" s="57"/>
      <c r="K116" s="57"/>
    </row>
    <row r="117" spans="5:11" ht="12.75" x14ac:dyDescent="0.2">
      <c r="E117" s="57"/>
      <c r="K117" s="57"/>
    </row>
    <row r="118" spans="5:11" ht="12.75" x14ac:dyDescent="0.2">
      <c r="E118" s="57"/>
      <c r="K118" s="57"/>
    </row>
    <row r="119" spans="5:11" ht="12.75" x14ac:dyDescent="0.2">
      <c r="E119" s="57"/>
      <c r="K119" s="57"/>
    </row>
    <row r="120" spans="5:11" ht="12.75" x14ac:dyDescent="0.2">
      <c r="E120" s="57"/>
      <c r="K120" s="57"/>
    </row>
    <row r="121" spans="5:11" ht="12.75" x14ac:dyDescent="0.2">
      <c r="E121" s="57"/>
      <c r="K121" s="57"/>
    </row>
    <row r="122" spans="5:11" ht="12.75" x14ac:dyDescent="0.2">
      <c r="E122" s="57"/>
      <c r="K122" s="57"/>
    </row>
    <row r="123" spans="5:11" ht="12.75" x14ac:dyDescent="0.2">
      <c r="E123" s="57"/>
      <c r="K123" s="57"/>
    </row>
    <row r="124" spans="5:11" ht="12.75" x14ac:dyDescent="0.2">
      <c r="E124" s="57"/>
      <c r="K124" s="57"/>
    </row>
    <row r="125" spans="5:11" ht="12.75" x14ac:dyDescent="0.2">
      <c r="E125" s="57"/>
      <c r="K125" s="57"/>
    </row>
    <row r="126" spans="5:11" ht="12.75" x14ac:dyDescent="0.2">
      <c r="E126" s="57"/>
      <c r="K126" s="57"/>
    </row>
    <row r="127" spans="5:11" ht="12.75" x14ac:dyDescent="0.2">
      <c r="E127" s="57"/>
      <c r="K127" s="57"/>
    </row>
    <row r="128" spans="5:11" ht="12.75" x14ac:dyDescent="0.2">
      <c r="E128" s="57"/>
      <c r="K128" s="57"/>
    </row>
    <row r="129" spans="5:11" ht="12.75" x14ac:dyDescent="0.2">
      <c r="E129" s="57"/>
      <c r="K129" s="57"/>
    </row>
    <row r="130" spans="5:11" ht="12.75" x14ac:dyDescent="0.2">
      <c r="E130" s="57"/>
      <c r="K130" s="57"/>
    </row>
    <row r="131" spans="5:11" ht="12.75" x14ac:dyDescent="0.2">
      <c r="E131" s="57"/>
      <c r="K131" s="57"/>
    </row>
    <row r="132" spans="5:11" ht="12.75" x14ac:dyDescent="0.2">
      <c r="E132" s="57"/>
      <c r="K132" s="57"/>
    </row>
    <row r="133" spans="5:11" ht="12.75" x14ac:dyDescent="0.2">
      <c r="E133" s="57"/>
      <c r="K133" s="57"/>
    </row>
    <row r="134" spans="5:11" ht="12.75" x14ac:dyDescent="0.2">
      <c r="E134" s="57"/>
      <c r="K134" s="57"/>
    </row>
    <row r="135" spans="5:11" ht="12.75" x14ac:dyDescent="0.2">
      <c r="E135" s="57"/>
      <c r="K135" s="57"/>
    </row>
    <row r="136" spans="5:11" ht="12.75" x14ac:dyDescent="0.2">
      <c r="E136" s="57"/>
      <c r="K136" s="57"/>
    </row>
    <row r="137" spans="5:11" ht="12.75" x14ac:dyDescent="0.2">
      <c r="E137" s="57"/>
      <c r="K137" s="57"/>
    </row>
    <row r="138" spans="5:11" ht="12.75" x14ac:dyDescent="0.2">
      <c r="E138" s="57"/>
      <c r="K138" s="57"/>
    </row>
    <row r="139" spans="5:11" ht="12.75" x14ac:dyDescent="0.2">
      <c r="E139" s="57"/>
      <c r="K139" s="57"/>
    </row>
    <row r="140" spans="5:11" ht="12.75" x14ac:dyDescent="0.2">
      <c r="E140" s="57"/>
      <c r="K140" s="57"/>
    </row>
    <row r="141" spans="5:11" ht="12.75" x14ac:dyDescent="0.2">
      <c r="E141" s="57"/>
      <c r="K141" s="57"/>
    </row>
    <row r="142" spans="5:11" ht="12.75" x14ac:dyDescent="0.2">
      <c r="E142" s="57"/>
      <c r="K142" s="57"/>
    </row>
    <row r="143" spans="5:11" ht="12.75" x14ac:dyDescent="0.2">
      <c r="E143" s="57"/>
      <c r="K143" s="57"/>
    </row>
    <row r="144" spans="5:11" ht="12.75" x14ac:dyDescent="0.2">
      <c r="E144" s="57"/>
      <c r="K144" s="57"/>
    </row>
    <row r="145" spans="5:11" ht="12.75" x14ac:dyDescent="0.2">
      <c r="E145" s="57"/>
      <c r="K145" s="57"/>
    </row>
    <row r="146" spans="5:11" ht="12.75" x14ac:dyDescent="0.2">
      <c r="E146" s="57"/>
      <c r="K146" s="57"/>
    </row>
    <row r="147" spans="5:11" ht="12.75" x14ac:dyDescent="0.2">
      <c r="E147" s="57"/>
      <c r="K147" s="57"/>
    </row>
    <row r="148" spans="5:11" ht="12.75" x14ac:dyDescent="0.2">
      <c r="E148" s="57"/>
      <c r="K148" s="57"/>
    </row>
    <row r="149" spans="5:11" ht="12.75" x14ac:dyDescent="0.2">
      <c r="E149" s="57"/>
      <c r="K149" s="57"/>
    </row>
    <row r="150" spans="5:11" ht="12.75" x14ac:dyDescent="0.2">
      <c r="E150" s="57"/>
      <c r="K150" s="57"/>
    </row>
    <row r="151" spans="5:11" ht="12.75" x14ac:dyDescent="0.2">
      <c r="E151" s="57"/>
      <c r="K151" s="57"/>
    </row>
    <row r="152" spans="5:11" ht="12.75" x14ac:dyDescent="0.2">
      <c r="E152" s="57"/>
      <c r="K152" s="57"/>
    </row>
    <row r="153" spans="5:11" ht="12.75" x14ac:dyDescent="0.2">
      <c r="E153" s="57"/>
      <c r="K153" s="57"/>
    </row>
    <row r="154" spans="5:11" ht="12.75" x14ac:dyDescent="0.2">
      <c r="E154" s="57"/>
      <c r="K154" s="57"/>
    </row>
    <row r="155" spans="5:11" ht="12.75" x14ac:dyDescent="0.2">
      <c r="E155" s="57"/>
      <c r="K155" s="57"/>
    </row>
    <row r="156" spans="5:11" ht="12.75" x14ac:dyDescent="0.2">
      <c r="E156" s="57"/>
      <c r="K156" s="57"/>
    </row>
    <row r="157" spans="5:11" ht="12.75" x14ac:dyDescent="0.2">
      <c r="E157" s="57"/>
      <c r="K157" s="57"/>
    </row>
    <row r="158" spans="5:11" ht="12.75" x14ac:dyDescent="0.2">
      <c r="E158" s="57"/>
      <c r="K158" s="57"/>
    </row>
    <row r="159" spans="5:11" ht="12.75" x14ac:dyDescent="0.2">
      <c r="E159" s="57"/>
      <c r="K159" s="57"/>
    </row>
    <row r="160" spans="5:11" ht="12.75" x14ac:dyDescent="0.2">
      <c r="E160" s="57"/>
      <c r="K160" s="57"/>
    </row>
    <row r="161" spans="5:11" ht="12.75" x14ac:dyDescent="0.2">
      <c r="E161" s="57"/>
      <c r="K161" s="57"/>
    </row>
    <row r="162" spans="5:11" ht="12.75" x14ac:dyDescent="0.2">
      <c r="E162" s="57"/>
      <c r="K162" s="57"/>
    </row>
    <row r="163" spans="5:11" ht="12.75" x14ac:dyDescent="0.2">
      <c r="E163" s="57"/>
      <c r="K163" s="57"/>
    </row>
    <row r="164" spans="5:11" ht="12.75" x14ac:dyDescent="0.2">
      <c r="E164" s="57"/>
      <c r="K164" s="57"/>
    </row>
    <row r="165" spans="5:11" ht="12.75" x14ac:dyDescent="0.2">
      <c r="E165" s="57"/>
      <c r="K165" s="57"/>
    </row>
    <row r="166" spans="5:11" ht="12.75" x14ac:dyDescent="0.2">
      <c r="E166" s="57"/>
      <c r="K166" s="57"/>
    </row>
    <row r="167" spans="5:11" ht="12.75" x14ac:dyDescent="0.2">
      <c r="E167" s="57"/>
      <c r="K167" s="57"/>
    </row>
    <row r="168" spans="5:11" ht="12.75" x14ac:dyDescent="0.2">
      <c r="E168" s="57"/>
      <c r="K168" s="57"/>
    </row>
    <row r="169" spans="5:11" ht="12.75" x14ac:dyDescent="0.2">
      <c r="E169" s="57"/>
      <c r="K169" s="57"/>
    </row>
    <row r="170" spans="5:11" ht="12.75" x14ac:dyDescent="0.2">
      <c r="E170" s="57"/>
      <c r="K170" s="57"/>
    </row>
    <row r="171" spans="5:11" ht="12.75" x14ac:dyDescent="0.2">
      <c r="E171" s="57"/>
      <c r="K171" s="57"/>
    </row>
    <row r="172" spans="5:11" ht="12.75" x14ac:dyDescent="0.2">
      <c r="E172" s="57"/>
      <c r="K172" s="57"/>
    </row>
    <row r="173" spans="5:11" ht="12.75" x14ac:dyDescent="0.2">
      <c r="E173" s="57"/>
      <c r="K173" s="57"/>
    </row>
    <row r="174" spans="5:11" ht="12.75" x14ac:dyDescent="0.2">
      <c r="E174" s="57"/>
      <c r="K174" s="57"/>
    </row>
    <row r="175" spans="5:11" ht="12.75" x14ac:dyDescent="0.2">
      <c r="E175" s="57"/>
      <c r="K175" s="57"/>
    </row>
    <row r="176" spans="5:11" ht="12.75" x14ac:dyDescent="0.2">
      <c r="E176" s="57"/>
      <c r="K176" s="57"/>
    </row>
    <row r="177" spans="5:11" ht="12.75" x14ac:dyDescent="0.2">
      <c r="E177" s="57"/>
      <c r="K177" s="57"/>
    </row>
    <row r="178" spans="5:11" ht="12.75" x14ac:dyDescent="0.2">
      <c r="E178" s="57"/>
      <c r="K178" s="57"/>
    </row>
    <row r="179" spans="5:11" ht="12.75" x14ac:dyDescent="0.2">
      <c r="E179" s="57"/>
      <c r="K179" s="57"/>
    </row>
    <row r="180" spans="5:11" ht="12.75" x14ac:dyDescent="0.2">
      <c r="E180" s="57"/>
      <c r="K180" s="57"/>
    </row>
    <row r="181" spans="5:11" ht="12.75" x14ac:dyDescent="0.2">
      <c r="E181" s="57"/>
      <c r="K181" s="57"/>
    </row>
    <row r="182" spans="5:11" ht="12.75" x14ac:dyDescent="0.2">
      <c r="E182" s="57"/>
      <c r="K182" s="57"/>
    </row>
    <row r="183" spans="5:11" ht="12.75" x14ac:dyDescent="0.2">
      <c r="E183" s="57"/>
      <c r="K183" s="57"/>
    </row>
    <row r="184" spans="5:11" ht="12.75" x14ac:dyDescent="0.2">
      <c r="E184" s="57"/>
      <c r="K184" s="57"/>
    </row>
    <row r="185" spans="5:11" ht="12.75" x14ac:dyDescent="0.2">
      <c r="E185" s="57"/>
      <c r="K185" s="57"/>
    </row>
    <row r="186" spans="5:11" ht="12.75" x14ac:dyDescent="0.2">
      <c r="E186" s="57"/>
      <c r="K186" s="57"/>
    </row>
    <row r="187" spans="5:11" ht="12.75" x14ac:dyDescent="0.2">
      <c r="E187" s="57"/>
      <c r="K187" s="57"/>
    </row>
    <row r="188" spans="5:11" ht="12.75" x14ac:dyDescent="0.2">
      <c r="E188" s="57"/>
      <c r="K188" s="57"/>
    </row>
    <row r="189" spans="5:11" ht="12.75" x14ac:dyDescent="0.2">
      <c r="E189" s="57"/>
      <c r="K189" s="57"/>
    </row>
    <row r="190" spans="5:11" ht="12.75" x14ac:dyDescent="0.2">
      <c r="E190" s="57"/>
      <c r="K190" s="57"/>
    </row>
    <row r="191" spans="5:11" ht="12.75" x14ac:dyDescent="0.2">
      <c r="E191" s="57"/>
      <c r="K191" s="57"/>
    </row>
    <row r="192" spans="5:11" ht="12.75" x14ac:dyDescent="0.2">
      <c r="E192" s="57"/>
      <c r="K192" s="57"/>
    </row>
    <row r="193" spans="5:11" ht="12.75" x14ac:dyDescent="0.2">
      <c r="E193" s="57"/>
      <c r="K193" s="57"/>
    </row>
    <row r="194" spans="5:11" ht="12.75" x14ac:dyDescent="0.2">
      <c r="E194" s="57"/>
      <c r="K194" s="57"/>
    </row>
    <row r="195" spans="5:11" ht="12.75" x14ac:dyDescent="0.2">
      <c r="E195" s="57"/>
      <c r="K195" s="57"/>
    </row>
    <row r="196" spans="5:11" ht="12.75" x14ac:dyDescent="0.2">
      <c r="E196" s="57"/>
      <c r="K196" s="57"/>
    </row>
    <row r="197" spans="5:11" ht="12.75" x14ac:dyDescent="0.2">
      <c r="E197" s="57"/>
      <c r="K197" s="57"/>
    </row>
    <row r="198" spans="5:11" ht="12.75" x14ac:dyDescent="0.2">
      <c r="E198" s="57"/>
      <c r="K198" s="57"/>
    </row>
    <row r="199" spans="5:11" ht="12.75" x14ac:dyDescent="0.2">
      <c r="E199" s="57"/>
      <c r="K199" s="57"/>
    </row>
    <row r="200" spans="5:11" ht="12.75" x14ac:dyDescent="0.2">
      <c r="E200" s="57"/>
      <c r="K200" s="57"/>
    </row>
    <row r="201" spans="5:11" ht="12.75" x14ac:dyDescent="0.2">
      <c r="E201" s="57"/>
      <c r="K201" s="57"/>
    </row>
    <row r="202" spans="5:11" ht="12.75" x14ac:dyDescent="0.2">
      <c r="E202" s="57"/>
      <c r="K202" s="57"/>
    </row>
    <row r="203" spans="5:11" ht="12.75" x14ac:dyDescent="0.2">
      <c r="E203" s="57"/>
      <c r="K203" s="57"/>
    </row>
    <row r="204" spans="5:11" ht="12.75" x14ac:dyDescent="0.2">
      <c r="E204" s="57"/>
      <c r="K204" s="57"/>
    </row>
    <row r="205" spans="5:11" ht="12.75" x14ac:dyDescent="0.2">
      <c r="E205" s="57"/>
      <c r="K205" s="57"/>
    </row>
    <row r="206" spans="5:11" ht="12.75" x14ac:dyDescent="0.2">
      <c r="E206" s="57"/>
      <c r="K206" s="57"/>
    </row>
    <row r="207" spans="5:11" ht="12.75" x14ac:dyDescent="0.2">
      <c r="E207" s="57"/>
      <c r="K207" s="57"/>
    </row>
    <row r="208" spans="5:11" ht="12.75" x14ac:dyDescent="0.2">
      <c r="E208" s="57"/>
      <c r="K208" s="57"/>
    </row>
    <row r="209" spans="5:11" ht="12.75" x14ac:dyDescent="0.2">
      <c r="E209" s="57"/>
      <c r="K209" s="57"/>
    </row>
    <row r="210" spans="5:11" ht="12.75" x14ac:dyDescent="0.2">
      <c r="E210" s="57"/>
      <c r="K210" s="57"/>
    </row>
    <row r="211" spans="5:11" ht="12.75" x14ac:dyDescent="0.2">
      <c r="E211" s="57"/>
      <c r="K211" s="57"/>
    </row>
    <row r="212" spans="5:11" ht="12.75" x14ac:dyDescent="0.2">
      <c r="E212" s="57"/>
      <c r="K212" s="57"/>
    </row>
    <row r="213" spans="5:11" ht="12.75" x14ac:dyDescent="0.2">
      <c r="E213" s="57"/>
      <c r="K213" s="57"/>
    </row>
    <row r="214" spans="5:11" ht="12.75" x14ac:dyDescent="0.2">
      <c r="E214" s="57"/>
      <c r="K214" s="57"/>
    </row>
    <row r="215" spans="5:11" ht="12.75" x14ac:dyDescent="0.2">
      <c r="E215" s="57"/>
      <c r="K215" s="57"/>
    </row>
    <row r="216" spans="5:11" ht="12.75" x14ac:dyDescent="0.2">
      <c r="E216" s="57"/>
      <c r="K216" s="57"/>
    </row>
    <row r="217" spans="5:11" ht="12.75" x14ac:dyDescent="0.2">
      <c r="E217" s="57"/>
      <c r="K217" s="57"/>
    </row>
    <row r="218" spans="5:11" ht="12.75" x14ac:dyDescent="0.2">
      <c r="E218" s="57"/>
      <c r="K218" s="57"/>
    </row>
    <row r="219" spans="5:11" ht="12.75" x14ac:dyDescent="0.2">
      <c r="E219" s="57"/>
      <c r="K219" s="57"/>
    </row>
    <row r="220" spans="5:11" ht="12.75" x14ac:dyDescent="0.2">
      <c r="E220" s="57"/>
      <c r="K220" s="57"/>
    </row>
    <row r="221" spans="5:11" ht="12.75" x14ac:dyDescent="0.2">
      <c r="E221" s="57"/>
      <c r="K221" s="57"/>
    </row>
    <row r="222" spans="5:11" ht="12.75" x14ac:dyDescent="0.2">
      <c r="E222" s="57"/>
      <c r="K222" s="57"/>
    </row>
    <row r="223" spans="5:11" ht="12.75" x14ac:dyDescent="0.2">
      <c r="E223" s="57"/>
      <c r="K223" s="57"/>
    </row>
    <row r="224" spans="5:11" ht="12.75" x14ac:dyDescent="0.2">
      <c r="E224" s="57"/>
      <c r="K224" s="57"/>
    </row>
    <row r="225" spans="5:11" ht="12.75" x14ac:dyDescent="0.2">
      <c r="E225" s="57"/>
      <c r="K225" s="57"/>
    </row>
    <row r="226" spans="5:11" ht="12.75" x14ac:dyDescent="0.2">
      <c r="E226" s="57"/>
      <c r="K226" s="57"/>
    </row>
    <row r="227" spans="5:11" ht="12.75" x14ac:dyDescent="0.2">
      <c r="E227" s="57"/>
      <c r="K227" s="57"/>
    </row>
    <row r="228" spans="5:11" ht="12.75" x14ac:dyDescent="0.2">
      <c r="E228" s="57"/>
      <c r="K228" s="57"/>
    </row>
    <row r="229" spans="5:11" ht="12.75" x14ac:dyDescent="0.2">
      <c r="E229" s="57"/>
      <c r="K229" s="57"/>
    </row>
    <row r="230" spans="5:11" ht="12.75" x14ac:dyDescent="0.2">
      <c r="E230" s="57"/>
      <c r="K230" s="57"/>
    </row>
    <row r="231" spans="5:11" ht="12.75" x14ac:dyDescent="0.2">
      <c r="E231" s="57"/>
      <c r="K231" s="57"/>
    </row>
    <row r="232" spans="5:11" ht="12.75" x14ac:dyDescent="0.2">
      <c r="E232" s="57"/>
      <c r="K232" s="57"/>
    </row>
    <row r="233" spans="5:11" ht="12.75" x14ac:dyDescent="0.2">
      <c r="E233" s="57"/>
      <c r="K233" s="57"/>
    </row>
    <row r="234" spans="5:11" ht="12.75" x14ac:dyDescent="0.2">
      <c r="E234" s="57"/>
      <c r="K234" s="57"/>
    </row>
    <row r="235" spans="5:11" ht="12.75" x14ac:dyDescent="0.2">
      <c r="E235" s="57"/>
      <c r="K235" s="57"/>
    </row>
    <row r="236" spans="5:11" ht="12.75" x14ac:dyDescent="0.2">
      <c r="E236" s="57"/>
      <c r="K236" s="57"/>
    </row>
    <row r="237" spans="5:11" ht="12.75" x14ac:dyDescent="0.2">
      <c r="E237" s="57"/>
      <c r="K237" s="57"/>
    </row>
    <row r="238" spans="5:11" ht="12.75" x14ac:dyDescent="0.2">
      <c r="E238" s="57"/>
      <c r="K238" s="57"/>
    </row>
    <row r="239" spans="5:11" ht="12.75" x14ac:dyDescent="0.2">
      <c r="E239" s="57"/>
      <c r="K239" s="57"/>
    </row>
    <row r="240" spans="5:11" ht="12.75" x14ac:dyDescent="0.2">
      <c r="E240" s="57"/>
      <c r="K240" s="57"/>
    </row>
    <row r="241" spans="5:11" ht="12.75" x14ac:dyDescent="0.2">
      <c r="E241" s="57"/>
      <c r="K241" s="57"/>
    </row>
    <row r="242" spans="5:11" ht="12.75" x14ac:dyDescent="0.2">
      <c r="E242" s="57"/>
      <c r="K242" s="57"/>
    </row>
    <row r="243" spans="5:11" ht="12.75" x14ac:dyDescent="0.2">
      <c r="E243" s="57"/>
      <c r="K243" s="57"/>
    </row>
    <row r="244" spans="5:11" ht="12.75" x14ac:dyDescent="0.2">
      <c r="E244" s="57"/>
      <c r="K244" s="57"/>
    </row>
    <row r="245" spans="5:11" ht="12.75" x14ac:dyDescent="0.2">
      <c r="E245" s="57"/>
      <c r="K245" s="57"/>
    </row>
    <row r="246" spans="5:11" ht="12.75" x14ac:dyDescent="0.2">
      <c r="E246" s="57"/>
      <c r="K246" s="57"/>
    </row>
    <row r="247" spans="5:11" ht="12.75" x14ac:dyDescent="0.2">
      <c r="E247" s="57"/>
      <c r="K247" s="57"/>
    </row>
    <row r="248" spans="5:11" ht="12.75" x14ac:dyDescent="0.2">
      <c r="E248" s="57"/>
      <c r="K248" s="57"/>
    </row>
    <row r="249" spans="5:11" ht="12.75" x14ac:dyDescent="0.2">
      <c r="E249" s="57"/>
      <c r="K249" s="57"/>
    </row>
    <row r="250" spans="5:11" ht="12.75" x14ac:dyDescent="0.2">
      <c r="E250" s="57"/>
      <c r="K250" s="57"/>
    </row>
    <row r="251" spans="5:11" ht="12.75" x14ac:dyDescent="0.2">
      <c r="E251" s="57"/>
      <c r="K251" s="57"/>
    </row>
    <row r="252" spans="5:11" ht="12.75" x14ac:dyDescent="0.2">
      <c r="E252" s="57"/>
      <c r="K252" s="57"/>
    </row>
    <row r="253" spans="5:11" ht="12.75" x14ac:dyDescent="0.2">
      <c r="E253" s="57"/>
      <c r="K253" s="57"/>
    </row>
    <row r="254" spans="5:11" ht="12.75" x14ac:dyDescent="0.2">
      <c r="E254" s="57"/>
      <c r="K254" s="57"/>
    </row>
    <row r="255" spans="5:11" ht="12.75" x14ac:dyDescent="0.2">
      <c r="E255" s="57"/>
      <c r="K255" s="57"/>
    </row>
    <row r="256" spans="5:11" ht="12.75" x14ac:dyDescent="0.2">
      <c r="E256" s="57"/>
      <c r="K256" s="57"/>
    </row>
    <row r="257" spans="5:11" ht="12.75" x14ac:dyDescent="0.2">
      <c r="E257" s="57"/>
      <c r="K257" s="57"/>
    </row>
    <row r="258" spans="5:11" ht="12.75" x14ac:dyDescent="0.2">
      <c r="E258" s="57"/>
      <c r="K258" s="57"/>
    </row>
    <row r="259" spans="5:11" ht="12.75" x14ac:dyDescent="0.2">
      <c r="E259" s="57"/>
      <c r="K259" s="57"/>
    </row>
    <row r="260" spans="5:11" ht="12.75" x14ac:dyDescent="0.2">
      <c r="E260" s="57"/>
      <c r="K260" s="57"/>
    </row>
    <row r="261" spans="5:11" ht="12.75" x14ac:dyDescent="0.2">
      <c r="E261" s="57"/>
      <c r="K261" s="57"/>
    </row>
    <row r="262" spans="5:11" ht="12.75" x14ac:dyDescent="0.2">
      <c r="E262" s="57"/>
      <c r="K262" s="57"/>
    </row>
    <row r="263" spans="5:11" ht="12.75" x14ac:dyDescent="0.2">
      <c r="E263" s="57"/>
      <c r="K263" s="57"/>
    </row>
    <row r="264" spans="5:11" ht="12.75" x14ac:dyDescent="0.2">
      <c r="E264" s="57"/>
      <c r="K264" s="57"/>
    </row>
    <row r="265" spans="5:11" ht="12.75" x14ac:dyDescent="0.2">
      <c r="E265" s="57"/>
      <c r="K265" s="57"/>
    </row>
    <row r="266" spans="5:11" ht="12.75" x14ac:dyDescent="0.2">
      <c r="E266" s="57"/>
      <c r="K266" s="57"/>
    </row>
    <row r="267" spans="5:11" ht="12.75" x14ac:dyDescent="0.2">
      <c r="E267" s="57"/>
      <c r="K267" s="57"/>
    </row>
    <row r="268" spans="5:11" ht="12.75" x14ac:dyDescent="0.2">
      <c r="E268" s="57"/>
      <c r="K268" s="57"/>
    </row>
    <row r="269" spans="5:11" ht="12.75" x14ac:dyDescent="0.2">
      <c r="E269" s="57"/>
      <c r="K269" s="57"/>
    </row>
    <row r="270" spans="5:11" ht="12.75" x14ac:dyDescent="0.2">
      <c r="E270" s="57"/>
      <c r="K270" s="57"/>
    </row>
    <row r="271" spans="5:11" ht="12.75" x14ac:dyDescent="0.2">
      <c r="E271" s="57"/>
      <c r="K271" s="57"/>
    </row>
    <row r="272" spans="5:11" ht="12.75" x14ac:dyDescent="0.2">
      <c r="E272" s="57"/>
      <c r="K272" s="57"/>
    </row>
    <row r="273" spans="5:11" ht="12.75" x14ac:dyDescent="0.2">
      <c r="E273" s="57"/>
      <c r="K273" s="57"/>
    </row>
    <row r="274" spans="5:11" ht="12.75" x14ac:dyDescent="0.2">
      <c r="E274" s="57"/>
      <c r="K274" s="57"/>
    </row>
    <row r="275" spans="5:11" ht="12.75" x14ac:dyDescent="0.2">
      <c r="E275" s="57"/>
      <c r="K275" s="57"/>
    </row>
    <row r="276" spans="5:11" ht="12.75" x14ac:dyDescent="0.2">
      <c r="E276" s="57"/>
      <c r="K276" s="57"/>
    </row>
    <row r="277" spans="5:11" ht="12.75" x14ac:dyDescent="0.2">
      <c r="E277" s="57"/>
      <c r="K277" s="57"/>
    </row>
    <row r="278" spans="5:11" ht="12.75" x14ac:dyDescent="0.2">
      <c r="E278" s="57"/>
      <c r="K278" s="57"/>
    </row>
    <row r="279" spans="5:11" ht="12.75" x14ac:dyDescent="0.2">
      <c r="E279" s="57"/>
      <c r="K279" s="57"/>
    </row>
    <row r="280" spans="5:11" ht="12.75" x14ac:dyDescent="0.2">
      <c r="E280" s="57"/>
      <c r="K280" s="57"/>
    </row>
    <row r="281" spans="5:11" ht="12.75" x14ac:dyDescent="0.2">
      <c r="E281" s="57"/>
      <c r="K281" s="57"/>
    </row>
    <row r="282" spans="5:11" ht="12.75" x14ac:dyDescent="0.2">
      <c r="E282" s="57"/>
      <c r="K282" s="57"/>
    </row>
    <row r="283" spans="5:11" ht="12.75" x14ac:dyDescent="0.2">
      <c r="E283" s="57"/>
      <c r="K283" s="57"/>
    </row>
    <row r="284" spans="5:11" ht="12.75" x14ac:dyDescent="0.2">
      <c r="E284" s="57"/>
      <c r="K284" s="57"/>
    </row>
    <row r="285" spans="5:11" ht="12.75" x14ac:dyDescent="0.2">
      <c r="E285" s="57"/>
      <c r="K285" s="57"/>
    </row>
    <row r="286" spans="5:11" ht="12.75" x14ac:dyDescent="0.2">
      <c r="E286" s="57"/>
      <c r="K286" s="57"/>
    </row>
    <row r="287" spans="5:11" ht="12.75" x14ac:dyDescent="0.2">
      <c r="E287" s="57"/>
      <c r="K287" s="57"/>
    </row>
    <row r="288" spans="5:11" ht="12.75" x14ac:dyDescent="0.2">
      <c r="E288" s="57"/>
      <c r="K288" s="57"/>
    </row>
    <row r="289" spans="5:11" ht="12.75" x14ac:dyDescent="0.2">
      <c r="E289" s="57"/>
      <c r="K289" s="57"/>
    </row>
    <row r="290" spans="5:11" ht="12.75" x14ac:dyDescent="0.2">
      <c r="E290" s="57"/>
      <c r="K290" s="57"/>
    </row>
    <row r="291" spans="5:11" ht="12.75" x14ac:dyDescent="0.2">
      <c r="E291" s="57"/>
      <c r="K291" s="57"/>
    </row>
    <row r="292" spans="5:11" ht="12.75" x14ac:dyDescent="0.2">
      <c r="E292" s="57"/>
      <c r="K292" s="57"/>
    </row>
    <row r="293" spans="5:11" ht="12.75" x14ac:dyDescent="0.2">
      <c r="E293" s="57"/>
      <c r="K293" s="57"/>
    </row>
    <row r="294" spans="5:11" ht="12.75" x14ac:dyDescent="0.2">
      <c r="E294" s="57"/>
      <c r="K294" s="57"/>
    </row>
    <row r="295" spans="5:11" ht="12.75" x14ac:dyDescent="0.2">
      <c r="E295" s="57"/>
      <c r="K295" s="57"/>
    </row>
    <row r="296" spans="5:11" ht="12.75" x14ac:dyDescent="0.2">
      <c r="E296" s="57"/>
      <c r="K296" s="57"/>
    </row>
    <row r="297" spans="5:11" ht="12.75" x14ac:dyDescent="0.2">
      <c r="E297" s="57"/>
      <c r="K297" s="57"/>
    </row>
    <row r="298" spans="5:11" ht="12.75" x14ac:dyDescent="0.2">
      <c r="E298" s="57"/>
      <c r="K298" s="57"/>
    </row>
    <row r="299" spans="5:11" ht="12.75" x14ac:dyDescent="0.2">
      <c r="E299" s="57"/>
      <c r="K299" s="57"/>
    </row>
    <row r="300" spans="5:11" ht="12.75" x14ac:dyDescent="0.2">
      <c r="E300" s="57"/>
      <c r="K300" s="57"/>
    </row>
    <row r="301" spans="5:11" ht="12.75" x14ac:dyDescent="0.2">
      <c r="E301" s="57"/>
      <c r="K301" s="57"/>
    </row>
    <row r="302" spans="5:11" ht="12.75" x14ac:dyDescent="0.2">
      <c r="E302" s="57"/>
      <c r="K302" s="57"/>
    </row>
    <row r="303" spans="5:11" ht="12.75" x14ac:dyDescent="0.2">
      <c r="E303" s="57"/>
      <c r="K303" s="57"/>
    </row>
    <row r="304" spans="5:11" ht="12.75" x14ac:dyDescent="0.2">
      <c r="E304" s="57"/>
      <c r="K304" s="57"/>
    </row>
    <row r="305" spans="5:11" ht="12.75" x14ac:dyDescent="0.2">
      <c r="E305" s="57"/>
      <c r="K305" s="57"/>
    </row>
    <row r="306" spans="5:11" ht="12.75" x14ac:dyDescent="0.2">
      <c r="E306" s="57"/>
      <c r="K306" s="57"/>
    </row>
    <row r="307" spans="5:11" ht="12.75" x14ac:dyDescent="0.2">
      <c r="E307" s="57"/>
      <c r="K307" s="57"/>
    </row>
    <row r="308" spans="5:11" ht="12.75" x14ac:dyDescent="0.2">
      <c r="E308" s="57"/>
      <c r="K308" s="57"/>
    </row>
    <row r="309" spans="5:11" ht="12.75" x14ac:dyDescent="0.2">
      <c r="E309" s="57"/>
      <c r="K309" s="57"/>
    </row>
    <row r="310" spans="5:11" ht="12.75" x14ac:dyDescent="0.2">
      <c r="E310" s="57"/>
      <c r="K310" s="57"/>
    </row>
    <row r="311" spans="5:11" ht="12.75" x14ac:dyDescent="0.2">
      <c r="E311" s="57"/>
      <c r="K311" s="57"/>
    </row>
    <row r="312" spans="5:11" ht="12.75" x14ac:dyDescent="0.2">
      <c r="E312" s="57"/>
      <c r="K312" s="57"/>
    </row>
    <row r="313" spans="5:11" ht="12.75" x14ac:dyDescent="0.2">
      <c r="E313" s="57"/>
      <c r="K313" s="57"/>
    </row>
    <row r="314" spans="5:11" ht="12.75" x14ac:dyDescent="0.2">
      <c r="E314" s="57"/>
      <c r="K314" s="57"/>
    </row>
    <row r="315" spans="5:11" ht="12.75" x14ac:dyDescent="0.2">
      <c r="E315" s="57"/>
      <c r="K315" s="57"/>
    </row>
    <row r="316" spans="5:11" ht="12.75" x14ac:dyDescent="0.2">
      <c r="E316" s="57"/>
      <c r="K316" s="57"/>
    </row>
    <row r="317" spans="5:11" ht="12.75" x14ac:dyDescent="0.2">
      <c r="E317" s="57"/>
      <c r="K317" s="57"/>
    </row>
    <row r="318" spans="5:11" ht="12.75" x14ac:dyDescent="0.2">
      <c r="E318" s="57"/>
      <c r="K318" s="57"/>
    </row>
    <row r="319" spans="5:11" ht="12.75" x14ac:dyDescent="0.2">
      <c r="E319" s="57"/>
      <c r="K319" s="57"/>
    </row>
    <row r="320" spans="5:11" ht="12.75" x14ac:dyDescent="0.2">
      <c r="E320" s="57"/>
      <c r="K320" s="57"/>
    </row>
    <row r="321" spans="5:11" ht="12.75" x14ac:dyDescent="0.2">
      <c r="E321" s="57"/>
      <c r="K321" s="57"/>
    </row>
    <row r="322" spans="5:11" ht="12.75" x14ac:dyDescent="0.2">
      <c r="E322" s="57"/>
      <c r="K322" s="57"/>
    </row>
    <row r="323" spans="5:11" ht="12.75" x14ac:dyDescent="0.2">
      <c r="E323" s="57"/>
      <c r="K323" s="57"/>
    </row>
    <row r="324" spans="5:11" ht="12.75" x14ac:dyDescent="0.2">
      <c r="E324" s="57"/>
      <c r="K324" s="57"/>
    </row>
    <row r="325" spans="5:11" ht="12.75" x14ac:dyDescent="0.2">
      <c r="E325" s="57"/>
      <c r="K325" s="57"/>
    </row>
    <row r="326" spans="5:11" ht="12.75" x14ac:dyDescent="0.2">
      <c r="E326" s="57"/>
      <c r="K326" s="57"/>
    </row>
    <row r="327" spans="5:11" ht="12.75" x14ac:dyDescent="0.2">
      <c r="E327" s="57"/>
      <c r="K327" s="57"/>
    </row>
    <row r="328" spans="5:11" ht="12.75" x14ac:dyDescent="0.2">
      <c r="E328" s="57"/>
      <c r="K328" s="57"/>
    </row>
    <row r="329" spans="5:11" ht="12.75" x14ac:dyDescent="0.2">
      <c r="E329" s="57"/>
      <c r="K329" s="57"/>
    </row>
    <row r="330" spans="5:11" ht="12.75" x14ac:dyDescent="0.2">
      <c r="E330" s="57"/>
      <c r="K330" s="57"/>
    </row>
    <row r="331" spans="5:11" ht="12.75" x14ac:dyDescent="0.2">
      <c r="E331" s="57"/>
      <c r="K331" s="57"/>
    </row>
    <row r="332" spans="5:11" ht="12.75" x14ac:dyDescent="0.2">
      <c r="E332" s="57"/>
      <c r="K332" s="57"/>
    </row>
    <row r="333" spans="5:11" ht="12.75" x14ac:dyDescent="0.2">
      <c r="E333" s="57"/>
      <c r="K333" s="57"/>
    </row>
    <row r="334" spans="5:11" ht="12.75" x14ac:dyDescent="0.2">
      <c r="E334" s="57"/>
      <c r="K334" s="57"/>
    </row>
    <row r="335" spans="5:11" ht="12.75" x14ac:dyDescent="0.2">
      <c r="E335" s="57"/>
      <c r="K335" s="57"/>
    </row>
    <row r="336" spans="5:11" ht="12.75" x14ac:dyDescent="0.2">
      <c r="E336" s="57"/>
      <c r="K336" s="57"/>
    </row>
    <row r="337" spans="5:11" ht="12.75" x14ac:dyDescent="0.2">
      <c r="E337" s="57"/>
      <c r="K337" s="57"/>
    </row>
    <row r="338" spans="5:11" ht="12.75" x14ac:dyDescent="0.2">
      <c r="E338" s="57"/>
      <c r="K338" s="57"/>
    </row>
    <row r="339" spans="5:11" ht="12.75" x14ac:dyDescent="0.2">
      <c r="E339" s="57"/>
      <c r="K339" s="57"/>
    </row>
    <row r="340" spans="5:11" ht="12.75" x14ac:dyDescent="0.2">
      <c r="E340" s="57"/>
      <c r="K340" s="57"/>
    </row>
    <row r="341" spans="5:11" ht="12.75" x14ac:dyDescent="0.2">
      <c r="E341" s="57"/>
      <c r="K341" s="57"/>
    </row>
    <row r="342" spans="5:11" ht="12.75" x14ac:dyDescent="0.2">
      <c r="E342" s="57"/>
      <c r="K342" s="57"/>
    </row>
    <row r="343" spans="5:11" ht="12.75" x14ac:dyDescent="0.2">
      <c r="E343" s="57"/>
      <c r="K343" s="57"/>
    </row>
    <row r="344" spans="5:11" ht="12.75" x14ac:dyDescent="0.2">
      <c r="E344" s="57"/>
      <c r="K344" s="57"/>
    </row>
    <row r="345" spans="5:11" ht="12.75" x14ac:dyDescent="0.2">
      <c r="E345" s="57"/>
      <c r="K345" s="57"/>
    </row>
    <row r="346" spans="5:11" ht="12.75" x14ac:dyDescent="0.2">
      <c r="E346" s="57"/>
      <c r="K346" s="57"/>
    </row>
    <row r="347" spans="5:11" ht="12.75" x14ac:dyDescent="0.2">
      <c r="E347" s="57"/>
      <c r="K347" s="57"/>
    </row>
    <row r="348" spans="5:11" ht="12.75" x14ac:dyDescent="0.2">
      <c r="E348" s="57"/>
      <c r="K348" s="57"/>
    </row>
    <row r="349" spans="5:11" ht="12.75" x14ac:dyDescent="0.2">
      <c r="E349" s="57"/>
      <c r="K349" s="57"/>
    </row>
    <row r="350" spans="5:11" ht="12.75" x14ac:dyDescent="0.2">
      <c r="E350" s="57"/>
      <c r="K350" s="57"/>
    </row>
    <row r="351" spans="5:11" ht="12.75" x14ac:dyDescent="0.2">
      <c r="E351" s="57"/>
      <c r="K351" s="57"/>
    </row>
    <row r="352" spans="5:11" ht="12.75" x14ac:dyDescent="0.2">
      <c r="E352" s="57"/>
      <c r="K352" s="57"/>
    </row>
    <row r="353" spans="5:11" ht="12.75" x14ac:dyDescent="0.2">
      <c r="E353" s="57"/>
      <c r="K353" s="57"/>
    </row>
    <row r="354" spans="5:11" ht="12.75" x14ac:dyDescent="0.2">
      <c r="E354" s="57"/>
      <c r="K354" s="57"/>
    </row>
    <row r="355" spans="5:11" ht="12.75" x14ac:dyDescent="0.2">
      <c r="E355" s="57"/>
      <c r="K355" s="57"/>
    </row>
    <row r="356" spans="5:11" ht="12.75" x14ac:dyDescent="0.2">
      <c r="E356" s="57"/>
      <c r="K356" s="57"/>
    </row>
    <row r="357" spans="5:11" ht="12.75" x14ac:dyDescent="0.2">
      <c r="E357" s="57"/>
      <c r="K357" s="57"/>
    </row>
    <row r="358" spans="5:11" ht="12.75" x14ac:dyDescent="0.2">
      <c r="E358" s="57"/>
      <c r="K358" s="57"/>
    </row>
    <row r="359" spans="5:11" ht="12.75" x14ac:dyDescent="0.2">
      <c r="E359" s="57"/>
      <c r="K359" s="57"/>
    </row>
    <row r="360" spans="5:11" ht="12.75" x14ac:dyDescent="0.2">
      <c r="E360" s="57"/>
      <c r="K360" s="57"/>
    </row>
    <row r="361" spans="5:11" ht="12.75" x14ac:dyDescent="0.2">
      <c r="E361" s="57"/>
      <c r="K361" s="57"/>
    </row>
    <row r="362" spans="5:11" ht="12.75" x14ac:dyDescent="0.2">
      <c r="E362" s="57"/>
      <c r="K362" s="57"/>
    </row>
    <row r="363" spans="5:11" ht="12.75" x14ac:dyDescent="0.2">
      <c r="E363" s="57"/>
      <c r="K363" s="57"/>
    </row>
    <row r="364" spans="5:11" ht="12.75" x14ac:dyDescent="0.2">
      <c r="E364" s="57"/>
      <c r="K364" s="57"/>
    </row>
    <row r="365" spans="5:11" ht="12.75" x14ac:dyDescent="0.2">
      <c r="E365" s="57"/>
      <c r="K365" s="57"/>
    </row>
    <row r="366" spans="5:11" ht="12.75" x14ac:dyDescent="0.2">
      <c r="E366" s="57"/>
      <c r="K366" s="57"/>
    </row>
    <row r="367" spans="5:11" ht="12.75" x14ac:dyDescent="0.2">
      <c r="E367" s="57"/>
      <c r="K367" s="57"/>
    </row>
    <row r="368" spans="5:11" ht="12.75" x14ac:dyDescent="0.2">
      <c r="E368" s="57"/>
      <c r="K368" s="57"/>
    </row>
    <row r="369" spans="5:11" ht="12.75" x14ac:dyDescent="0.2">
      <c r="E369" s="57"/>
      <c r="K369" s="57"/>
    </row>
    <row r="370" spans="5:11" ht="12.75" x14ac:dyDescent="0.2">
      <c r="E370" s="57"/>
      <c r="K370" s="57"/>
    </row>
    <row r="371" spans="5:11" ht="12.75" x14ac:dyDescent="0.2">
      <c r="E371" s="57"/>
      <c r="K371" s="57"/>
    </row>
    <row r="372" spans="5:11" ht="12.75" x14ac:dyDescent="0.2">
      <c r="E372" s="57"/>
      <c r="K372" s="57"/>
    </row>
    <row r="373" spans="5:11" ht="12.75" x14ac:dyDescent="0.2">
      <c r="E373" s="57"/>
      <c r="K373" s="57"/>
    </row>
    <row r="374" spans="5:11" ht="12.75" x14ac:dyDescent="0.2">
      <c r="E374" s="57"/>
      <c r="K374" s="57"/>
    </row>
    <row r="375" spans="5:11" ht="12.75" x14ac:dyDescent="0.2">
      <c r="E375" s="57"/>
      <c r="K375" s="57"/>
    </row>
    <row r="376" spans="5:11" ht="12.75" x14ac:dyDescent="0.2">
      <c r="E376" s="57"/>
      <c r="K376" s="57"/>
    </row>
    <row r="377" spans="5:11" ht="12.75" x14ac:dyDescent="0.2">
      <c r="E377" s="57"/>
      <c r="K377" s="57"/>
    </row>
    <row r="378" spans="5:11" ht="12.75" x14ac:dyDescent="0.2">
      <c r="E378" s="57"/>
      <c r="K378" s="57"/>
    </row>
    <row r="379" spans="5:11" ht="12.75" x14ac:dyDescent="0.2">
      <c r="E379" s="57"/>
      <c r="K379" s="57"/>
    </row>
    <row r="380" spans="5:11" ht="12.75" x14ac:dyDescent="0.2">
      <c r="E380" s="57"/>
      <c r="K380" s="57"/>
    </row>
    <row r="381" spans="5:11" ht="12.75" x14ac:dyDescent="0.2">
      <c r="E381" s="57"/>
      <c r="K381" s="57"/>
    </row>
    <row r="382" spans="5:11" ht="12.75" x14ac:dyDescent="0.2">
      <c r="E382" s="57"/>
      <c r="K382" s="57"/>
    </row>
    <row r="383" spans="5:11" ht="12.75" x14ac:dyDescent="0.2">
      <c r="E383" s="57"/>
      <c r="K383" s="57"/>
    </row>
    <row r="384" spans="5:11" ht="12.75" x14ac:dyDescent="0.2">
      <c r="E384" s="57"/>
      <c r="K384" s="57"/>
    </row>
    <row r="385" spans="5:11" ht="12.75" x14ac:dyDescent="0.2">
      <c r="E385" s="57"/>
      <c r="K385" s="57"/>
    </row>
    <row r="386" spans="5:11" ht="12.75" x14ac:dyDescent="0.2">
      <c r="E386" s="57"/>
      <c r="K386" s="57"/>
    </row>
    <row r="387" spans="5:11" ht="12.75" x14ac:dyDescent="0.2">
      <c r="E387" s="57"/>
      <c r="K387" s="57"/>
    </row>
    <row r="388" spans="5:11" ht="12.75" x14ac:dyDescent="0.2">
      <c r="E388" s="57"/>
      <c r="K388" s="57"/>
    </row>
    <row r="389" spans="5:11" ht="12.75" x14ac:dyDescent="0.2">
      <c r="E389" s="57"/>
      <c r="K389" s="57"/>
    </row>
    <row r="390" spans="5:11" ht="12.75" x14ac:dyDescent="0.2">
      <c r="E390" s="57"/>
      <c r="K390" s="57"/>
    </row>
    <row r="391" spans="5:11" ht="12.75" x14ac:dyDescent="0.2">
      <c r="E391" s="57"/>
      <c r="K391" s="57"/>
    </row>
    <row r="392" spans="5:11" ht="12.75" x14ac:dyDescent="0.2">
      <c r="E392" s="57"/>
      <c r="K392" s="57"/>
    </row>
    <row r="393" spans="5:11" ht="12.75" x14ac:dyDescent="0.2">
      <c r="E393" s="57"/>
      <c r="K393" s="57"/>
    </row>
    <row r="394" spans="5:11" ht="12.75" x14ac:dyDescent="0.2">
      <c r="E394" s="57"/>
      <c r="K394" s="57"/>
    </row>
    <row r="395" spans="5:11" ht="12.75" x14ac:dyDescent="0.2">
      <c r="E395" s="57"/>
      <c r="K395" s="57"/>
    </row>
    <row r="396" spans="5:11" ht="12.75" x14ac:dyDescent="0.2">
      <c r="E396" s="57"/>
      <c r="K396" s="57"/>
    </row>
    <row r="397" spans="5:11" ht="12.75" x14ac:dyDescent="0.2">
      <c r="E397" s="57"/>
      <c r="K397" s="57"/>
    </row>
    <row r="398" spans="5:11" ht="12.75" x14ac:dyDescent="0.2">
      <c r="E398" s="57"/>
      <c r="K398" s="57"/>
    </row>
    <row r="399" spans="5:11" ht="12.75" x14ac:dyDescent="0.2">
      <c r="E399" s="57"/>
      <c r="K399" s="57"/>
    </row>
    <row r="400" spans="5:11" ht="12.75" x14ac:dyDescent="0.2">
      <c r="E400" s="57"/>
      <c r="K400" s="57"/>
    </row>
    <row r="401" spans="5:11" ht="12.75" x14ac:dyDescent="0.2">
      <c r="E401" s="57"/>
      <c r="K401" s="57"/>
    </row>
    <row r="402" spans="5:11" ht="12.75" x14ac:dyDescent="0.2">
      <c r="E402" s="57"/>
      <c r="K402" s="57"/>
    </row>
    <row r="403" spans="5:11" ht="12.75" x14ac:dyDescent="0.2">
      <c r="E403" s="57"/>
      <c r="K403" s="57"/>
    </row>
    <row r="404" spans="5:11" ht="12.75" x14ac:dyDescent="0.2">
      <c r="E404" s="57"/>
      <c r="K404" s="57"/>
    </row>
    <row r="405" spans="5:11" ht="12.75" x14ac:dyDescent="0.2">
      <c r="E405" s="57"/>
      <c r="K405" s="57"/>
    </row>
    <row r="406" spans="5:11" ht="12.75" x14ac:dyDescent="0.2">
      <c r="E406" s="57"/>
      <c r="K406" s="57"/>
    </row>
    <row r="407" spans="5:11" ht="12.75" x14ac:dyDescent="0.2">
      <c r="E407" s="57"/>
      <c r="K407" s="57"/>
    </row>
    <row r="408" spans="5:11" ht="12.75" x14ac:dyDescent="0.2">
      <c r="E408" s="57"/>
      <c r="K408" s="57"/>
    </row>
    <row r="409" spans="5:11" ht="12.75" x14ac:dyDescent="0.2">
      <c r="E409" s="57"/>
      <c r="K409" s="57"/>
    </row>
    <row r="410" spans="5:11" ht="12.75" x14ac:dyDescent="0.2">
      <c r="E410" s="57"/>
      <c r="K410" s="57"/>
    </row>
    <row r="411" spans="5:11" ht="12.75" x14ac:dyDescent="0.2">
      <c r="E411" s="57"/>
      <c r="K411" s="57"/>
    </row>
    <row r="412" spans="5:11" ht="12.75" x14ac:dyDescent="0.2">
      <c r="E412" s="57"/>
      <c r="K412" s="57"/>
    </row>
    <row r="413" spans="5:11" ht="12.75" x14ac:dyDescent="0.2">
      <c r="E413" s="57"/>
      <c r="K413" s="57"/>
    </row>
    <row r="414" spans="5:11" ht="12.75" x14ac:dyDescent="0.2">
      <c r="E414" s="57"/>
      <c r="K414" s="57"/>
    </row>
    <row r="415" spans="5:11" ht="12.75" x14ac:dyDescent="0.2">
      <c r="E415" s="57"/>
      <c r="K415" s="57"/>
    </row>
    <row r="416" spans="5:11" ht="12.75" x14ac:dyDescent="0.2">
      <c r="E416" s="57"/>
      <c r="K416" s="57"/>
    </row>
    <row r="417" spans="5:11" ht="12.75" x14ac:dyDescent="0.2">
      <c r="E417" s="57"/>
      <c r="K417" s="57"/>
    </row>
    <row r="418" spans="5:11" ht="12.75" x14ac:dyDescent="0.2">
      <c r="E418" s="57"/>
      <c r="K418" s="57"/>
    </row>
    <row r="419" spans="5:11" ht="12.75" x14ac:dyDescent="0.2">
      <c r="E419" s="57"/>
      <c r="K419" s="57"/>
    </row>
    <row r="420" spans="5:11" ht="12.75" x14ac:dyDescent="0.2">
      <c r="E420" s="57"/>
      <c r="K420" s="57"/>
    </row>
    <row r="421" spans="5:11" ht="12.75" x14ac:dyDescent="0.2">
      <c r="E421" s="57"/>
      <c r="K421" s="57"/>
    </row>
    <row r="422" spans="5:11" ht="12.75" x14ac:dyDescent="0.2">
      <c r="E422" s="57"/>
      <c r="K422" s="57"/>
    </row>
    <row r="423" spans="5:11" ht="12.75" x14ac:dyDescent="0.2">
      <c r="E423" s="57"/>
      <c r="K423" s="57"/>
    </row>
    <row r="424" spans="5:11" ht="12.75" x14ac:dyDescent="0.2">
      <c r="E424" s="57"/>
      <c r="K424" s="57"/>
    </row>
    <row r="425" spans="5:11" ht="12.75" x14ac:dyDescent="0.2">
      <c r="E425" s="57"/>
      <c r="K425" s="57"/>
    </row>
    <row r="426" spans="5:11" ht="12.75" x14ac:dyDescent="0.2">
      <c r="E426" s="57"/>
      <c r="K426" s="57"/>
    </row>
    <row r="427" spans="5:11" ht="12.75" x14ac:dyDescent="0.2">
      <c r="E427" s="57"/>
      <c r="K427" s="57"/>
    </row>
    <row r="428" spans="5:11" ht="12.75" x14ac:dyDescent="0.2">
      <c r="E428" s="57"/>
      <c r="K428" s="57"/>
    </row>
    <row r="429" spans="5:11" ht="12.75" x14ac:dyDescent="0.2">
      <c r="E429" s="57"/>
      <c r="K429" s="57"/>
    </row>
    <row r="430" spans="5:11" ht="12.75" x14ac:dyDescent="0.2">
      <c r="E430" s="57"/>
      <c r="K430" s="57"/>
    </row>
    <row r="431" spans="5:11" ht="12.75" x14ac:dyDescent="0.2">
      <c r="E431" s="57"/>
      <c r="K431" s="57"/>
    </row>
    <row r="432" spans="5:11" ht="12.75" x14ac:dyDescent="0.2">
      <c r="E432" s="57"/>
      <c r="K432" s="57"/>
    </row>
    <row r="433" spans="5:11" ht="12.75" x14ac:dyDescent="0.2">
      <c r="E433" s="57"/>
      <c r="K433" s="57"/>
    </row>
    <row r="434" spans="5:11" ht="12.75" x14ac:dyDescent="0.2">
      <c r="E434" s="57"/>
      <c r="K434" s="57"/>
    </row>
    <row r="435" spans="5:11" ht="12.75" x14ac:dyDescent="0.2">
      <c r="E435" s="57"/>
      <c r="K435" s="57"/>
    </row>
    <row r="436" spans="5:11" ht="12.75" x14ac:dyDescent="0.2">
      <c r="E436" s="57"/>
      <c r="K436" s="57"/>
    </row>
    <row r="437" spans="5:11" ht="12.75" x14ac:dyDescent="0.2">
      <c r="E437" s="57"/>
      <c r="K437" s="57"/>
    </row>
    <row r="438" spans="5:11" ht="12.75" x14ac:dyDescent="0.2">
      <c r="E438" s="57"/>
      <c r="K438" s="57"/>
    </row>
    <row r="439" spans="5:11" ht="12.75" x14ac:dyDescent="0.2">
      <c r="E439" s="57"/>
      <c r="K439" s="57"/>
    </row>
    <row r="440" spans="5:11" ht="12.75" x14ac:dyDescent="0.2">
      <c r="E440" s="57"/>
      <c r="K440" s="57"/>
    </row>
    <row r="441" spans="5:11" ht="12.75" x14ac:dyDescent="0.2">
      <c r="E441" s="57"/>
      <c r="K441" s="57"/>
    </row>
    <row r="442" spans="5:11" ht="12.75" x14ac:dyDescent="0.2">
      <c r="E442" s="57"/>
      <c r="K442" s="57"/>
    </row>
    <row r="443" spans="5:11" ht="12.75" x14ac:dyDescent="0.2">
      <c r="E443" s="57"/>
      <c r="K443" s="57"/>
    </row>
    <row r="444" spans="5:11" ht="12.75" x14ac:dyDescent="0.2">
      <c r="E444" s="57"/>
      <c r="K444" s="57"/>
    </row>
    <row r="445" spans="5:11" ht="12.75" x14ac:dyDescent="0.2">
      <c r="E445" s="57"/>
      <c r="K445" s="57"/>
    </row>
    <row r="446" spans="5:11" ht="12.75" x14ac:dyDescent="0.2">
      <c r="E446" s="57"/>
      <c r="K446" s="57"/>
    </row>
    <row r="447" spans="5:11" ht="12.75" x14ac:dyDescent="0.2">
      <c r="E447" s="57"/>
      <c r="K447" s="57"/>
    </row>
    <row r="448" spans="5:11" ht="12.75" x14ac:dyDescent="0.2">
      <c r="E448" s="57"/>
      <c r="K448" s="57"/>
    </row>
    <row r="449" spans="5:11" ht="12.75" x14ac:dyDescent="0.2">
      <c r="E449" s="57"/>
      <c r="K449" s="57"/>
    </row>
    <row r="450" spans="5:11" ht="12.75" x14ac:dyDescent="0.2">
      <c r="E450" s="57"/>
      <c r="K450" s="57"/>
    </row>
    <row r="451" spans="5:11" ht="12.75" x14ac:dyDescent="0.2">
      <c r="E451" s="57"/>
      <c r="K451" s="57"/>
    </row>
    <row r="452" spans="5:11" ht="12.75" x14ac:dyDescent="0.2">
      <c r="E452" s="57"/>
      <c r="K452" s="57"/>
    </row>
    <row r="453" spans="5:11" ht="12.75" x14ac:dyDescent="0.2">
      <c r="E453" s="57"/>
      <c r="K453" s="57"/>
    </row>
    <row r="454" spans="5:11" ht="12.75" x14ac:dyDescent="0.2">
      <c r="E454" s="57"/>
      <c r="K454" s="57"/>
    </row>
    <row r="455" spans="5:11" ht="12.75" x14ac:dyDescent="0.2">
      <c r="E455" s="57"/>
      <c r="K455" s="57"/>
    </row>
    <row r="456" spans="5:11" ht="12.75" x14ac:dyDescent="0.2">
      <c r="E456" s="57"/>
      <c r="K456" s="57"/>
    </row>
    <row r="457" spans="5:11" ht="12.75" x14ac:dyDescent="0.2">
      <c r="E457" s="57"/>
      <c r="K457" s="57"/>
    </row>
    <row r="458" spans="5:11" ht="12.75" x14ac:dyDescent="0.2">
      <c r="E458" s="57"/>
      <c r="K458" s="57"/>
    </row>
    <row r="459" spans="5:11" ht="12.75" x14ac:dyDescent="0.2">
      <c r="E459" s="57"/>
      <c r="K459" s="57"/>
    </row>
    <row r="460" spans="5:11" ht="12.75" x14ac:dyDescent="0.2">
      <c r="E460" s="57"/>
      <c r="K460" s="57"/>
    </row>
    <row r="461" spans="5:11" ht="12.75" x14ac:dyDescent="0.2">
      <c r="E461" s="57"/>
      <c r="K461" s="57"/>
    </row>
    <row r="462" spans="5:11" ht="12.75" x14ac:dyDescent="0.2">
      <c r="E462" s="57"/>
      <c r="K462" s="57"/>
    </row>
    <row r="463" spans="5:11" ht="12.75" x14ac:dyDescent="0.2">
      <c r="E463" s="57"/>
      <c r="K463" s="57"/>
    </row>
    <row r="464" spans="5:11" ht="12.75" x14ac:dyDescent="0.2">
      <c r="E464" s="57"/>
      <c r="K464" s="57"/>
    </row>
    <row r="465" spans="5:11" ht="12.75" x14ac:dyDescent="0.2">
      <c r="E465" s="57"/>
      <c r="K465" s="57"/>
    </row>
    <row r="466" spans="5:11" ht="12.75" x14ac:dyDescent="0.2">
      <c r="E466" s="57"/>
      <c r="K466" s="57"/>
    </row>
    <row r="467" spans="5:11" ht="12.75" x14ac:dyDescent="0.2">
      <c r="E467" s="57"/>
      <c r="K467" s="57"/>
    </row>
    <row r="468" spans="5:11" ht="12.75" x14ac:dyDescent="0.2">
      <c r="E468" s="57"/>
      <c r="K468" s="57"/>
    </row>
    <row r="469" spans="5:11" ht="12.75" x14ac:dyDescent="0.2">
      <c r="E469" s="57"/>
      <c r="K469" s="57"/>
    </row>
    <row r="470" spans="5:11" ht="12.75" x14ac:dyDescent="0.2">
      <c r="E470" s="57"/>
      <c r="K470" s="57"/>
    </row>
    <row r="471" spans="5:11" ht="12.75" x14ac:dyDescent="0.2">
      <c r="E471" s="57"/>
      <c r="K471" s="57"/>
    </row>
    <row r="472" spans="5:11" ht="12.75" x14ac:dyDescent="0.2">
      <c r="E472" s="57"/>
      <c r="K472" s="57"/>
    </row>
    <row r="473" spans="5:11" ht="12.75" x14ac:dyDescent="0.2">
      <c r="E473" s="57"/>
      <c r="K473" s="57"/>
    </row>
    <row r="474" spans="5:11" ht="12.75" x14ac:dyDescent="0.2">
      <c r="E474" s="57"/>
      <c r="K474" s="57"/>
    </row>
    <row r="475" spans="5:11" ht="12.75" x14ac:dyDescent="0.2">
      <c r="E475" s="57"/>
      <c r="K475" s="57"/>
    </row>
    <row r="476" spans="5:11" ht="12.75" x14ac:dyDescent="0.2">
      <c r="E476" s="57"/>
      <c r="K476" s="57"/>
    </row>
    <row r="477" spans="5:11" ht="12.75" x14ac:dyDescent="0.2">
      <c r="E477" s="57"/>
      <c r="K477" s="57"/>
    </row>
    <row r="478" spans="5:11" ht="12.75" x14ac:dyDescent="0.2">
      <c r="E478" s="57"/>
      <c r="K478" s="57"/>
    </row>
    <row r="479" spans="5:11" ht="12.75" x14ac:dyDescent="0.2">
      <c r="E479" s="57"/>
      <c r="K479" s="57"/>
    </row>
    <row r="480" spans="5:11" ht="12.75" x14ac:dyDescent="0.2">
      <c r="E480" s="57"/>
      <c r="K480" s="57"/>
    </row>
    <row r="481" spans="5:11" ht="12.75" x14ac:dyDescent="0.2">
      <c r="E481" s="57"/>
      <c r="K481" s="57"/>
    </row>
    <row r="482" spans="5:11" ht="12.75" x14ac:dyDescent="0.2">
      <c r="E482" s="57"/>
      <c r="K482" s="57"/>
    </row>
    <row r="483" spans="5:11" ht="12.75" x14ac:dyDescent="0.2">
      <c r="E483" s="57"/>
      <c r="K483" s="57"/>
    </row>
    <row r="484" spans="5:11" ht="12.75" x14ac:dyDescent="0.2">
      <c r="E484" s="57"/>
      <c r="K484" s="57"/>
    </row>
    <row r="485" spans="5:11" ht="12.75" x14ac:dyDescent="0.2">
      <c r="E485" s="57"/>
      <c r="K485" s="57"/>
    </row>
    <row r="486" spans="5:11" ht="12.75" x14ac:dyDescent="0.2">
      <c r="E486" s="57"/>
      <c r="K486" s="57"/>
    </row>
    <row r="487" spans="5:11" ht="12.75" x14ac:dyDescent="0.2">
      <c r="E487" s="57"/>
      <c r="K487" s="57"/>
    </row>
    <row r="488" spans="5:11" ht="12.75" x14ac:dyDescent="0.2">
      <c r="E488" s="57"/>
      <c r="K488" s="57"/>
    </row>
    <row r="489" spans="5:11" ht="12.75" x14ac:dyDescent="0.2">
      <c r="E489" s="57"/>
      <c r="K489" s="57"/>
    </row>
    <row r="490" spans="5:11" ht="12.75" x14ac:dyDescent="0.2">
      <c r="E490" s="57"/>
      <c r="K490" s="57"/>
    </row>
    <row r="491" spans="5:11" ht="12.75" x14ac:dyDescent="0.2">
      <c r="E491" s="57"/>
      <c r="K491" s="57"/>
    </row>
    <row r="492" spans="5:11" ht="12.75" x14ac:dyDescent="0.2">
      <c r="E492" s="57"/>
      <c r="K492" s="57"/>
    </row>
    <row r="493" spans="5:11" ht="12.75" x14ac:dyDescent="0.2">
      <c r="E493" s="57"/>
      <c r="K493" s="57"/>
    </row>
    <row r="494" spans="5:11" ht="12.75" x14ac:dyDescent="0.2">
      <c r="E494" s="57"/>
      <c r="K494" s="57"/>
    </row>
    <row r="495" spans="5:11" ht="12.75" x14ac:dyDescent="0.2">
      <c r="E495" s="57"/>
      <c r="K495" s="57"/>
    </row>
    <row r="496" spans="5:11" ht="12.75" x14ac:dyDescent="0.2">
      <c r="E496" s="57"/>
      <c r="K496" s="57"/>
    </row>
    <row r="497" spans="5:11" ht="12.75" x14ac:dyDescent="0.2">
      <c r="E497" s="57"/>
      <c r="K497" s="57"/>
    </row>
    <row r="498" spans="5:11" ht="12.75" x14ac:dyDescent="0.2">
      <c r="E498" s="57"/>
      <c r="K498" s="57"/>
    </row>
    <row r="499" spans="5:11" ht="12.75" x14ac:dyDescent="0.2">
      <c r="E499" s="57"/>
      <c r="K499" s="57"/>
    </row>
    <row r="500" spans="5:11" ht="12.75" x14ac:dyDescent="0.2">
      <c r="E500" s="57"/>
      <c r="K500" s="57"/>
    </row>
    <row r="501" spans="5:11" ht="12.75" x14ac:dyDescent="0.2">
      <c r="E501" s="57"/>
      <c r="K501" s="57"/>
    </row>
    <row r="502" spans="5:11" ht="12.75" x14ac:dyDescent="0.2">
      <c r="E502" s="57"/>
      <c r="K502" s="57"/>
    </row>
    <row r="503" spans="5:11" ht="12.75" x14ac:dyDescent="0.2">
      <c r="E503" s="57"/>
      <c r="K503" s="57"/>
    </row>
    <row r="504" spans="5:11" ht="12.75" x14ac:dyDescent="0.2">
      <c r="E504" s="57"/>
      <c r="K504" s="57"/>
    </row>
    <row r="505" spans="5:11" ht="12.75" x14ac:dyDescent="0.2">
      <c r="E505" s="57"/>
      <c r="K505" s="57"/>
    </row>
    <row r="506" spans="5:11" ht="12.75" x14ac:dyDescent="0.2">
      <c r="E506" s="57"/>
      <c r="K506" s="57"/>
    </row>
    <row r="507" spans="5:11" ht="12.75" x14ac:dyDescent="0.2">
      <c r="E507" s="57"/>
      <c r="K507" s="57"/>
    </row>
    <row r="508" spans="5:11" ht="12.75" x14ac:dyDescent="0.2">
      <c r="E508" s="57"/>
      <c r="K508" s="57"/>
    </row>
    <row r="509" spans="5:11" ht="12.75" x14ac:dyDescent="0.2">
      <c r="E509" s="57"/>
      <c r="K509" s="57"/>
    </row>
    <row r="510" spans="5:11" ht="12.75" x14ac:dyDescent="0.2">
      <c r="E510" s="57"/>
      <c r="K510" s="57"/>
    </row>
    <row r="511" spans="5:11" ht="12.75" x14ac:dyDescent="0.2">
      <c r="E511" s="57"/>
      <c r="K511" s="57"/>
    </row>
    <row r="512" spans="5:11" ht="12.75" x14ac:dyDescent="0.2">
      <c r="E512" s="57"/>
      <c r="K512" s="57"/>
    </row>
    <row r="513" spans="5:11" ht="12.75" x14ac:dyDescent="0.2">
      <c r="E513" s="57"/>
      <c r="K513" s="57"/>
    </row>
    <row r="514" spans="5:11" ht="12.75" x14ac:dyDescent="0.2">
      <c r="E514" s="57"/>
      <c r="K514" s="57"/>
    </row>
    <row r="515" spans="5:11" ht="12.75" x14ac:dyDescent="0.2">
      <c r="E515" s="57"/>
      <c r="K515" s="57"/>
    </row>
    <row r="516" spans="5:11" ht="12.75" x14ac:dyDescent="0.2">
      <c r="E516" s="57"/>
      <c r="K516" s="57"/>
    </row>
    <row r="517" spans="5:11" ht="12.75" x14ac:dyDescent="0.2">
      <c r="E517" s="57"/>
      <c r="K517" s="57"/>
    </row>
    <row r="518" spans="5:11" ht="12.75" x14ac:dyDescent="0.2">
      <c r="E518" s="57"/>
      <c r="K518" s="57"/>
    </row>
    <row r="519" spans="5:11" ht="12.75" x14ac:dyDescent="0.2">
      <c r="E519" s="57"/>
      <c r="K519" s="57"/>
    </row>
    <row r="520" spans="5:11" ht="12.75" x14ac:dyDescent="0.2">
      <c r="E520" s="57"/>
      <c r="K520" s="57"/>
    </row>
    <row r="521" spans="5:11" ht="12.75" x14ac:dyDescent="0.2">
      <c r="E521" s="57"/>
      <c r="K521" s="57"/>
    </row>
    <row r="522" spans="5:11" ht="12.75" x14ac:dyDescent="0.2">
      <c r="E522" s="57"/>
      <c r="K522" s="57"/>
    </row>
    <row r="523" spans="5:11" ht="12.75" x14ac:dyDescent="0.2">
      <c r="E523" s="57"/>
      <c r="K523" s="57"/>
    </row>
    <row r="524" spans="5:11" ht="12.75" x14ac:dyDescent="0.2">
      <c r="E524" s="57"/>
      <c r="K524" s="57"/>
    </row>
    <row r="525" spans="5:11" ht="12.75" x14ac:dyDescent="0.2">
      <c r="E525" s="57"/>
      <c r="K525" s="57"/>
    </row>
    <row r="526" spans="5:11" ht="12.75" x14ac:dyDescent="0.2">
      <c r="E526" s="57"/>
      <c r="K526" s="57"/>
    </row>
    <row r="527" spans="5:11" ht="12.75" x14ac:dyDescent="0.2">
      <c r="E527" s="57"/>
      <c r="K527" s="57"/>
    </row>
    <row r="528" spans="5:11" ht="12.75" x14ac:dyDescent="0.2">
      <c r="E528" s="57"/>
      <c r="K528" s="57"/>
    </row>
    <row r="529" spans="5:11" ht="12.75" x14ac:dyDescent="0.2">
      <c r="E529" s="57"/>
      <c r="K529" s="57"/>
    </row>
    <row r="530" spans="5:11" ht="12.75" x14ac:dyDescent="0.2">
      <c r="E530" s="57"/>
      <c r="K530" s="57"/>
    </row>
    <row r="531" spans="5:11" ht="12.75" x14ac:dyDescent="0.2">
      <c r="E531" s="57"/>
      <c r="K531" s="57"/>
    </row>
    <row r="532" spans="5:11" ht="12.75" x14ac:dyDescent="0.2">
      <c r="E532" s="57"/>
      <c r="K532" s="57"/>
    </row>
    <row r="533" spans="5:11" ht="12.75" x14ac:dyDescent="0.2">
      <c r="E533" s="57"/>
      <c r="K533" s="57"/>
    </row>
    <row r="534" spans="5:11" ht="12.75" x14ac:dyDescent="0.2">
      <c r="E534" s="57"/>
      <c r="K534" s="57"/>
    </row>
    <row r="535" spans="5:11" ht="12.75" x14ac:dyDescent="0.2">
      <c r="E535" s="57"/>
      <c r="K535" s="57"/>
    </row>
    <row r="536" spans="5:11" ht="12.75" x14ac:dyDescent="0.2">
      <c r="E536" s="57"/>
      <c r="K536" s="57"/>
    </row>
    <row r="537" spans="5:11" ht="12.75" x14ac:dyDescent="0.2">
      <c r="E537" s="57"/>
      <c r="K537" s="57"/>
    </row>
    <row r="538" spans="5:11" ht="12.75" x14ac:dyDescent="0.2">
      <c r="E538" s="57"/>
      <c r="K538" s="57"/>
    </row>
    <row r="539" spans="5:11" ht="12.75" x14ac:dyDescent="0.2">
      <c r="E539" s="57"/>
      <c r="K539" s="57"/>
    </row>
    <row r="540" spans="5:11" ht="12.75" x14ac:dyDescent="0.2">
      <c r="E540" s="57"/>
      <c r="K540" s="57"/>
    </row>
    <row r="541" spans="5:11" ht="12.75" x14ac:dyDescent="0.2">
      <c r="E541" s="57"/>
      <c r="K541" s="57"/>
    </row>
    <row r="542" spans="5:11" ht="12.75" x14ac:dyDescent="0.2">
      <c r="E542" s="57"/>
      <c r="K542" s="57"/>
    </row>
    <row r="543" spans="5:11" ht="12.75" x14ac:dyDescent="0.2">
      <c r="E543" s="57"/>
      <c r="K543" s="57"/>
    </row>
    <row r="544" spans="5:11" ht="12.75" x14ac:dyDescent="0.2">
      <c r="E544" s="57"/>
      <c r="K544" s="57"/>
    </row>
    <row r="545" spans="5:11" ht="12.75" x14ac:dyDescent="0.2">
      <c r="E545" s="57"/>
      <c r="K545" s="57"/>
    </row>
    <row r="546" spans="5:11" ht="12.75" x14ac:dyDescent="0.2">
      <c r="E546" s="57"/>
      <c r="K546" s="57"/>
    </row>
    <row r="547" spans="5:11" ht="12.75" x14ac:dyDescent="0.2">
      <c r="E547" s="57"/>
      <c r="K547" s="57"/>
    </row>
    <row r="548" spans="5:11" ht="12.75" x14ac:dyDescent="0.2">
      <c r="E548" s="57"/>
      <c r="K548" s="57"/>
    </row>
    <row r="549" spans="5:11" ht="12.75" x14ac:dyDescent="0.2">
      <c r="E549" s="57"/>
      <c r="K549" s="57"/>
    </row>
    <row r="550" spans="5:11" ht="12.75" x14ac:dyDescent="0.2">
      <c r="E550" s="57"/>
      <c r="K550" s="57"/>
    </row>
    <row r="551" spans="5:11" ht="12.75" x14ac:dyDescent="0.2">
      <c r="E551" s="57"/>
      <c r="K551" s="57"/>
    </row>
    <row r="552" spans="5:11" ht="12.75" x14ac:dyDescent="0.2">
      <c r="E552" s="57"/>
      <c r="K552" s="57"/>
    </row>
    <row r="553" spans="5:11" ht="12.75" x14ac:dyDescent="0.2">
      <c r="E553" s="57"/>
      <c r="K553" s="57"/>
    </row>
    <row r="554" spans="5:11" ht="12.75" x14ac:dyDescent="0.2">
      <c r="E554" s="57"/>
      <c r="K554" s="57"/>
    </row>
    <row r="555" spans="5:11" ht="12.75" x14ac:dyDescent="0.2">
      <c r="E555" s="57"/>
      <c r="K555" s="57"/>
    </row>
    <row r="556" spans="5:11" ht="12.75" x14ac:dyDescent="0.2">
      <c r="E556" s="57"/>
      <c r="K556" s="57"/>
    </row>
    <row r="557" spans="5:11" ht="12.75" x14ac:dyDescent="0.2">
      <c r="E557" s="57"/>
      <c r="K557" s="57"/>
    </row>
    <row r="558" spans="5:11" ht="12.75" x14ac:dyDescent="0.2">
      <c r="E558" s="57"/>
      <c r="K558" s="57"/>
    </row>
    <row r="559" spans="5:11" ht="12.75" x14ac:dyDescent="0.2">
      <c r="E559" s="57"/>
      <c r="K559" s="57"/>
    </row>
    <row r="560" spans="5:11" ht="12.75" x14ac:dyDescent="0.2">
      <c r="E560" s="57"/>
      <c r="K560" s="57"/>
    </row>
    <row r="561" spans="5:11" ht="12.75" x14ac:dyDescent="0.2">
      <c r="E561" s="57"/>
      <c r="K561" s="57"/>
    </row>
    <row r="562" spans="5:11" ht="12.75" x14ac:dyDescent="0.2">
      <c r="E562" s="57"/>
      <c r="K562" s="57"/>
    </row>
    <row r="563" spans="5:11" ht="12.75" x14ac:dyDescent="0.2">
      <c r="E563" s="57"/>
      <c r="K563" s="57"/>
    </row>
    <row r="564" spans="5:11" ht="12.75" x14ac:dyDescent="0.2">
      <c r="E564" s="57"/>
      <c r="K564" s="57"/>
    </row>
    <row r="565" spans="5:11" ht="12.75" x14ac:dyDescent="0.2">
      <c r="E565" s="57"/>
      <c r="K565" s="57"/>
    </row>
    <row r="566" spans="5:11" ht="12.75" x14ac:dyDescent="0.2">
      <c r="E566" s="57"/>
      <c r="K566" s="57"/>
    </row>
    <row r="567" spans="5:11" ht="12.75" x14ac:dyDescent="0.2">
      <c r="E567" s="57"/>
      <c r="K567" s="57"/>
    </row>
    <row r="568" spans="5:11" ht="12.75" x14ac:dyDescent="0.2">
      <c r="E568" s="57"/>
      <c r="K568" s="57"/>
    </row>
    <row r="569" spans="5:11" ht="12.75" x14ac:dyDescent="0.2">
      <c r="E569" s="57"/>
      <c r="K569" s="57"/>
    </row>
    <row r="570" spans="5:11" ht="12.75" x14ac:dyDescent="0.2">
      <c r="E570" s="57"/>
      <c r="K570" s="57"/>
    </row>
    <row r="571" spans="5:11" ht="12.75" x14ac:dyDescent="0.2">
      <c r="E571" s="57"/>
      <c r="K571" s="57"/>
    </row>
    <row r="572" spans="5:11" ht="12.75" x14ac:dyDescent="0.2">
      <c r="E572" s="57"/>
      <c r="K572" s="57"/>
    </row>
    <row r="573" spans="5:11" ht="12.75" x14ac:dyDescent="0.2">
      <c r="E573" s="57"/>
      <c r="K573" s="57"/>
    </row>
    <row r="574" spans="5:11" ht="12.75" x14ac:dyDescent="0.2">
      <c r="E574" s="57"/>
      <c r="K574" s="57"/>
    </row>
    <row r="575" spans="5:11" ht="12.75" x14ac:dyDescent="0.2">
      <c r="E575" s="57"/>
      <c r="K575" s="57"/>
    </row>
    <row r="576" spans="5:11" ht="12.75" x14ac:dyDescent="0.2">
      <c r="E576" s="57"/>
      <c r="K576" s="57"/>
    </row>
    <row r="577" spans="5:11" ht="12.75" x14ac:dyDescent="0.2">
      <c r="E577" s="57"/>
      <c r="K577" s="57"/>
    </row>
    <row r="578" spans="5:11" ht="12.75" x14ac:dyDescent="0.2">
      <c r="E578" s="57"/>
      <c r="K578" s="57"/>
    </row>
    <row r="579" spans="5:11" ht="12.75" x14ac:dyDescent="0.2">
      <c r="E579" s="57"/>
      <c r="K579" s="57"/>
    </row>
    <row r="580" spans="5:11" ht="12.75" x14ac:dyDescent="0.2">
      <c r="E580" s="57"/>
      <c r="K580" s="57"/>
    </row>
    <row r="581" spans="5:11" ht="12.75" x14ac:dyDescent="0.2">
      <c r="E581" s="57"/>
      <c r="K581" s="57"/>
    </row>
    <row r="582" spans="5:11" ht="12.75" x14ac:dyDescent="0.2">
      <c r="E582" s="57"/>
      <c r="K582" s="57"/>
    </row>
    <row r="583" spans="5:11" ht="12.75" x14ac:dyDescent="0.2">
      <c r="E583" s="57"/>
      <c r="K583" s="57"/>
    </row>
    <row r="584" spans="5:11" ht="12.75" x14ac:dyDescent="0.2">
      <c r="E584" s="57"/>
      <c r="K584" s="57"/>
    </row>
    <row r="585" spans="5:11" ht="12.75" x14ac:dyDescent="0.2">
      <c r="E585" s="57"/>
      <c r="K585" s="57"/>
    </row>
    <row r="586" spans="5:11" ht="12.75" x14ac:dyDescent="0.2">
      <c r="E586" s="57"/>
      <c r="K586" s="57"/>
    </row>
    <row r="587" spans="5:11" ht="12.75" x14ac:dyDescent="0.2">
      <c r="E587" s="57"/>
      <c r="K587" s="57"/>
    </row>
    <row r="588" spans="5:11" ht="12.75" x14ac:dyDescent="0.2">
      <c r="E588" s="57"/>
      <c r="K588" s="57"/>
    </row>
    <row r="589" spans="5:11" ht="12.75" x14ac:dyDescent="0.2">
      <c r="E589" s="57"/>
      <c r="K589" s="57"/>
    </row>
    <row r="590" spans="5:11" ht="12.75" x14ac:dyDescent="0.2">
      <c r="E590" s="57"/>
      <c r="K590" s="57"/>
    </row>
    <row r="591" spans="5:11" ht="12.75" x14ac:dyDescent="0.2">
      <c r="E591" s="57"/>
      <c r="K591" s="57"/>
    </row>
    <row r="592" spans="5:11" ht="12.75" x14ac:dyDescent="0.2">
      <c r="E592" s="57"/>
      <c r="K592" s="57"/>
    </row>
    <row r="593" spans="5:11" ht="12.75" x14ac:dyDescent="0.2">
      <c r="E593" s="57"/>
      <c r="K593" s="57"/>
    </row>
    <row r="594" spans="5:11" ht="12.75" x14ac:dyDescent="0.2">
      <c r="E594" s="57"/>
      <c r="K594" s="57"/>
    </row>
    <row r="595" spans="5:11" ht="12.75" x14ac:dyDescent="0.2">
      <c r="E595" s="57"/>
      <c r="K595" s="57"/>
    </row>
    <row r="596" spans="5:11" ht="12.75" x14ac:dyDescent="0.2">
      <c r="E596" s="57"/>
      <c r="K596" s="57"/>
    </row>
    <row r="597" spans="5:11" ht="12.75" x14ac:dyDescent="0.2">
      <c r="E597" s="57"/>
      <c r="K597" s="57"/>
    </row>
    <row r="598" spans="5:11" ht="12.75" x14ac:dyDescent="0.2">
      <c r="E598" s="57"/>
      <c r="K598" s="57"/>
    </row>
    <row r="599" spans="5:11" ht="12.75" x14ac:dyDescent="0.2">
      <c r="E599" s="57"/>
      <c r="K599" s="57"/>
    </row>
    <row r="600" spans="5:11" ht="12.75" x14ac:dyDescent="0.2">
      <c r="E600" s="57"/>
      <c r="K600" s="57"/>
    </row>
    <row r="601" spans="5:11" ht="12.75" x14ac:dyDescent="0.2">
      <c r="E601" s="57"/>
      <c r="K601" s="57"/>
    </row>
    <row r="602" spans="5:11" ht="12.75" x14ac:dyDescent="0.2">
      <c r="E602" s="57"/>
      <c r="K602" s="57"/>
    </row>
    <row r="603" spans="5:11" ht="12.75" x14ac:dyDescent="0.2">
      <c r="E603" s="57"/>
      <c r="K603" s="57"/>
    </row>
    <row r="604" spans="5:11" ht="12.75" x14ac:dyDescent="0.2">
      <c r="E604" s="57"/>
      <c r="K604" s="57"/>
    </row>
    <row r="605" spans="5:11" ht="12.75" x14ac:dyDescent="0.2">
      <c r="E605" s="57"/>
      <c r="K605" s="57"/>
    </row>
    <row r="606" spans="5:11" ht="12.75" x14ac:dyDescent="0.2">
      <c r="E606" s="57"/>
      <c r="K606" s="57"/>
    </row>
    <row r="607" spans="5:11" ht="12.75" x14ac:dyDescent="0.2">
      <c r="E607" s="57"/>
      <c r="K607" s="57"/>
    </row>
    <row r="608" spans="5:11" ht="12.75" x14ac:dyDescent="0.2">
      <c r="E608" s="57"/>
      <c r="K608" s="57"/>
    </row>
    <row r="609" spans="5:11" ht="12.75" x14ac:dyDescent="0.2">
      <c r="E609" s="57"/>
      <c r="K609" s="57"/>
    </row>
    <row r="610" spans="5:11" ht="12.75" x14ac:dyDescent="0.2">
      <c r="E610" s="57"/>
      <c r="K610" s="57"/>
    </row>
    <row r="611" spans="5:11" ht="12.75" x14ac:dyDescent="0.2">
      <c r="E611" s="57"/>
      <c r="K611" s="57"/>
    </row>
    <row r="612" spans="5:11" ht="12.75" x14ac:dyDescent="0.2">
      <c r="E612" s="57"/>
      <c r="K612" s="57"/>
    </row>
    <row r="613" spans="5:11" ht="12.75" x14ac:dyDescent="0.2">
      <c r="E613" s="57"/>
      <c r="K613" s="57"/>
    </row>
    <row r="614" spans="5:11" ht="12.75" x14ac:dyDescent="0.2">
      <c r="E614" s="57"/>
      <c r="K614" s="57"/>
    </row>
    <row r="615" spans="5:11" ht="12.75" x14ac:dyDescent="0.2">
      <c r="E615" s="57"/>
      <c r="K615" s="57"/>
    </row>
    <row r="616" spans="5:11" ht="12.75" x14ac:dyDescent="0.2">
      <c r="E616" s="57"/>
      <c r="K616" s="57"/>
    </row>
    <row r="617" spans="5:11" ht="12.75" x14ac:dyDescent="0.2">
      <c r="E617" s="57"/>
      <c r="K617" s="57"/>
    </row>
    <row r="618" spans="5:11" ht="12.75" x14ac:dyDescent="0.2">
      <c r="E618" s="57"/>
      <c r="K618" s="57"/>
    </row>
    <row r="619" spans="5:11" ht="12.75" x14ac:dyDescent="0.2">
      <c r="E619" s="57"/>
      <c r="K619" s="57"/>
    </row>
    <row r="620" spans="5:11" ht="12.75" x14ac:dyDescent="0.2">
      <c r="E620" s="57"/>
      <c r="K620" s="57"/>
    </row>
    <row r="621" spans="5:11" ht="12.75" x14ac:dyDescent="0.2">
      <c r="E621" s="57"/>
      <c r="K621" s="57"/>
    </row>
    <row r="622" spans="5:11" ht="12.75" x14ac:dyDescent="0.2">
      <c r="E622" s="57"/>
      <c r="K622" s="57"/>
    </row>
    <row r="623" spans="5:11" ht="12.75" x14ac:dyDescent="0.2">
      <c r="E623" s="57"/>
      <c r="K623" s="57"/>
    </row>
    <row r="624" spans="5:11" ht="12.75" x14ac:dyDescent="0.2">
      <c r="E624" s="57"/>
      <c r="K624" s="57"/>
    </row>
    <row r="625" spans="5:11" ht="12.75" x14ac:dyDescent="0.2">
      <c r="E625" s="57"/>
      <c r="K625" s="57"/>
    </row>
    <row r="626" spans="5:11" ht="12.75" x14ac:dyDescent="0.2">
      <c r="E626" s="57"/>
      <c r="K626" s="57"/>
    </row>
    <row r="627" spans="5:11" ht="12.75" x14ac:dyDescent="0.2">
      <c r="E627" s="57"/>
      <c r="K627" s="57"/>
    </row>
    <row r="628" spans="5:11" ht="12.75" x14ac:dyDescent="0.2">
      <c r="E628" s="57"/>
      <c r="K628" s="57"/>
    </row>
    <row r="629" spans="5:11" ht="12.75" x14ac:dyDescent="0.2">
      <c r="E629" s="57"/>
      <c r="K629" s="57"/>
    </row>
    <row r="630" spans="5:11" ht="12.75" x14ac:dyDescent="0.2">
      <c r="E630" s="57"/>
      <c r="K630" s="57"/>
    </row>
    <row r="631" spans="5:11" ht="12.75" x14ac:dyDescent="0.2">
      <c r="E631" s="57"/>
      <c r="K631" s="57"/>
    </row>
    <row r="632" spans="5:11" ht="12.75" x14ac:dyDescent="0.2">
      <c r="E632" s="57"/>
      <c r="K632" s="57"/>
    </row>
    <row r="633" spans="5:11" ht="12.75" x14ac:dyDescent="0.2">
      <c r="E633" s="57"/>
      <c r="K633" s="57"/>
    </row>
    <row r="634" spans="5:11" ht="12.75" x14ac:dyDescent="0.2">
      <c r="E634" s="57"/>
      <c r="K634" s="57"/>
    </row>
    <row r="635" spans="5:11" ht="12.75" x14ac:dyDescent="0.2">
      <c r="E635" s="57"/>
      <c r="K635" s="57"/>
    </row>
    <row r="636" spans="5:11" ht="12.75" x14ac:dyDescent="0.2">
      <c r="E636" s="57"/>
      <c r="K636" s="57"/>
    </row>
    <row r="637" spans="5:11" ht="12.75" x14ac:dyDescent="0.2">
      <c r="E637" s="57"/>
      <c r="K637" s="57"/>
    </row>
    <row r="638" spans="5:11" ht="12.75" x14ac:dyDescent="0.2">
      <c r="E638" s="57"/>
      <c r="K638" s="57"/>
    </row>
    <row r="639" spans="5:11" ht="12.75" x14ac:dyDescent="0.2">
      <c r="E639" s="57"/>
      <c r="K639" s="57"/>
    </row>
    <row r="640" spans="5:11" ht="12.75" x14ac:dyDescent="0.2">
      <c r="E640" s="57"/>
      <c r="K640" s="57"/>
    </row>
    <row r="641" spans="5:11" ht="12.75" x14ac:dyDescent="0.2">
      <c r="E641" s="57"/>
      <c r="K641" s="57"/>
    </row>
    <row r="642" spans="5:11" ht="12.75" x14ac:dyDescent="0.2">
      <c r="E642" s="57"/>
      <c r="K642" s="57"/>
    </row>
    <row r="643" spans="5:11" ht="12.75" x14ac:dyDescent="0.2">
      <c r="E643" s="57"/>
      <c r="K643" s="57"/>
    </row>
    <row r="644" spans="5:11" ht="12.75" x14ac:dyDescent="0.2">
      <c r="E644" s="57"/>
      <c r="K644" s="57"/>
    </row>
    <row r="645" spans="5:11" ht="12.75" x14ac:dyDescent="0.2">
      <c r="E645" s="57"/>
      <c r="K645" s="57"/>
    </row>
    <row r="646" spans="5:11" ht="12.75" x14ac:dyDescent="0.2">
      <c r="E646" s="57"/>
      <c r="K646" s="57"/>
    </row>
    <row r="647" spans="5:11" ht="12.75" x14ac:dyDescent="0.2">
      <c r="E647" s="57"/>
      <c r="K647" s="57"/>
    </row>
    <row r="648" spans="5:11" ht="12.75" x14ac:dyDescent="0.2">
      <c r="E648" s="57"/>
      <c r="K648" s="57"/>
    </row>
    <row r="649" spans="5:11" ht="12.75" x14ac:dyDescent="0.2">
      <c r="E649" s="57"/>
      <c r="K649" s="57"/>
    </row>
    <row r="650" spans="5:11" ht="12.75" x14ac:dyDescent="0.2">
      <c r="E650" s="57"/>
      <c r="K650" s="57"/>
    </row>
    <row r="651" spans="5:11" ht="12.75" x14ac:dyDescent="0.2">
      <c r="E651" s="57"/>
      <c r="K651" s="57"/>
    </row>
    <row r="652" spans="5:11" ht="12.75" x14ac:dyDescent="0.2">
      <c r="E652" s="57"/>
      <c r="K652" s="57"/>
    </row>
    <row r="653" spans="5:11" ht="12.75" x14ac:dyDescent="0.2">
      <c r="E653" s="57"/>
      <c r="K653" s="57"/>
    </row>
    <row r="654" spans="5:11" ht="12.75" x14ac:dyDescent="0.2">
      <c r="E654" s="57"/>
      <c r="K654" s="57"/>
    </row>
    <row r="655" spans="5:11" ht="12.75" x14ac:dyDescent="0.2">
      <c r="E655" s="57"/>
      <c r="K655" s="57"/>
    </row>
    <row r="656" spans="5:11" ht="12.75" x14ac:dyDescent="0.2">
      <c r="E656" s="57"/>
      <c r="K656" s="57"/>
    </row>
    <row r="657" spans="5:11" ht="12.75" x14ac:dyDescent="0.2">
      <c r="E657" s="57"/>
      <c r="K657" s="57"/>
    </row>
    <row r="658" spans="5:11" ht="12.75" x14ac:dyDescent="0.2">
      <c r="E658" s="57"/>
      <c r="K658" s="57"/>
    </row>
    <row r="659" spans="5:11" ht="12.75" x14ac:dyDescent="0.2">
      <c r="E659" s="57"/>
      <c r="K659" s="57"/>
    </row>
    <row r="660" spans="5:11" ht="12.75" x14ac:dyDescent="0.2">
      <c r="E660" s="57"/>
      <c r="K660" s="57"/>
    </row>
    <row r="661" spans="5:11" ht="12.75" x14ac:dyDescent="0.2">
      <c r="E661" s="57"/>
      <c r="K661" s="57"/>
    </row>
    <row r="662" spans="5:11" ht="12.75" x14ac:dyDescent="0.2">
      <c r="E662" s="57"/>
      <c r="K662" s="57"/>
    </row>
    <row r="663" spans="5:11" ht="12.75" x14ac:dyDescent="0.2">
      <c r="E663" s="57"/>
      <c r="K663" s="57"/>
    </row>
    <row r="664" spans="5:11" ht="12.75" x14ac:dyDescent="0.2">
      <c r="E664" s="57"/>
      <c r="K664" s="57"/>
    </row>
    <row r="665" spans="5:11" ht="12.75" x14ac:dyDescent="0.2">
      <c r="E665" s="57"/>
      <c r="K665" s="57"/>
    </row>
    <row r="666" spans="5:11" ht="12.75" x14ac:dyDescent="0.2">
      <c r="E666" s="57"/>
      <c r="K666" s="57"/>
    </row>
    <row r="667" spans="5:11" ht="12.75" x14ac:dyDescent="0.2">
      <c r="E667" s="57"/>
      <c r="K667" s="57"/>
    </row>
    <row r="668" spans="5:11" ht="12.75" x14ac:dyDescent="0.2">
      <c r="E668" s="57"/>
      <c r="K668" s="57"/>
    </row>
    <row r="669" spans="5:11" ht="12.75" x14ac:dyDescent="0.2">
      <c r="E669" s="57"/>
      <c r="K669" s="57"/>
    </row>
    <row r="670" spans="5:11" ht="12.75" x14ac:dyDescent="0.2">
      <c r="E670" s="57"/>
      <c r="K670" s="57"/>
    </row>
    <row r="671" spans="5:11" ht="12.75" x14ac:dyDescent="0.2">
      <c r="E671" s="57"/>
      <c r="K671" s="57"/>
    </row>
    <row r="672" spans="5:11" ht="12.75" x14ac:dyDescent="0.2">
      <c r="E672" s="57"/>
      <c r="K672" s="57"/>
    </row>
    <row r="673" spans="5:11" ht="12.75" x14ac:dyDescent="0.2">
      <c r="E673" s="57"/>
      <c r="K673" s="57"/>
    </row>
    <row r="674" spans="5:11" ht="12.75" x14ac:dyDescent="0.2">
      <c r="E674" s="57"/>
      <c r="K674" s="57"/>
    </row>
    <row r="675" spans="5:11" ht="12.75" x14ac:dyDescent="0.2">
      <c r="E675" s="57"/>
      <c r="K675" s="57"/>
    </row>
    <row r="676" spans="5:11" ht="12.75" x14ac:dyDescent="0.2">
      <c r="E676" s="57"/>
      <c r="K676" s="57"/>
    </row>
    <row r="677" spans="5:11" ht="12.75" x14ac:dyDescent="0.2">
      <c r="E677" s="57"/>
      <c r="K677" s="57"/>
    </row>
    <row r="678" spans="5:11" ht="12.75" x14ac:dyDescent="0.2">
      <c r="E678" s="57"/>
      <c r="K678" s="57"/>
    </row>
    <row r="679" spans="5:11" ht="12.75" x14ac:dyDescent="0.2">
      <c r="E679" s="57"/>
      <c r="K679" s="57"/>
    </row>
    <row r="680" spans="5:11" ht="12.75" x14ac:dyDescent="0.2">
      <c r="E680" s="57"/>
      <c r="K680" s="57"/>
    </row>
    <row r="681" spans="5:11" ht="12.75" x14ac:dyDescent="0.2">
      <c r="E681" s="57"/>
      <c r="K681" s="57"/>
    </row>
    <row r="682" spans="5:11" ht="12.75" x14ac:dyDescent="0.2">
      <c r="E682" s="57"/>
      <c r="K682" s="57"/>
    </row>
    <row r="683" spans="5:11" ht="12.75" x14ac:dyDescent="0.2">
      <c r="E683" s="57"/>
      <c r="K683" s="57"/>
    </row>
    <row r="684" spans="5:11" ht="12.75" x14ac:dyDescent="0.2">
      <c r="E684" s="57"/>
      <c r="K684" s="57"/>
    </row>
    <row r="685" spans="5:11" ht="12.75" x14ac:dyDescent="0.2">
      <c r="E685" s="57"/>
      <c r="K685" s="57"/>
    </row>
    <row r="686" spans="5:11" ht="12.75" x14ac:dyDescent="0.2">
      <c r="E686" s="57"/>
      <c r="K686" s="57"/>
    </row>
    <row r="687" spans="5:11" ht="12.75" x14ac:dyDescent="0.2">
      <c r="E687" s="57"/>
      <c r="K687" s="57"/>
    </row>
    <row r="688" spans="5:11" ht="12.75" x14ac:dyDescent="0.2">
      <c r="E688" s="57"/>
      <c r="K688" s="57"/>
    </row>
    <row r="689" spans="5:11" ht="12.75" x14ac:dyDescent="0.2">
      <c r="E689" s="57"/>
      <c r="K689" s="57"/>
    </row>
    <row r="690" spans="5:11" ht="12.75" x14ac:dyDescent="0.2">
      <c r="E690" s="57"/>
      <c r="K690" s="57"/>
    </row>
    <row r="691" spans="5:11" ht="12.75" x14ac:dyDescent="0.2">
      <c r="E691" s="57"/>
      <c r="K691" s="57"/>
    </row>
    <row r="692" spans="5:11" ht="12.75" x14ac:dyDescent="0.2">
      <c r="E692" s="57"/>
      <c r="K692" s="57"/>
    </row>
    <row r="693" spans="5:11" ht="12.75" x14ac:dyDescent="0.2">
      <c r="E693" s="57"/>
      <c r="K693" s="57"/>
    </row>
    <row r="694" spans="5:11" ht="12.75" x14ac:dyDescent="0.2">
      <c r="E694" s="57"/>
      <c r="K694" s="57"/>
    </row>
    <row r="695" spans="5:11" ht="12.75" x14ac:dyDescent="0.2">
      <c r="E695" s="57"/>
      <c r="K695" s="57"/>
    </row>
    <row r="696" spans="5:11" ht="12.75" x14ac:dyDescent="0.2">
      <c r="E696" s="57"/>
      <c r="K696" s="57"/>
    </row>
    <row r="697" spans="5:11" ht="12.75" x14ac:dyDescent="0.2">
      <c r="E697" s="57"/>
      <c r="K697" s="57"/>
    </row>
    <row r="698" spans="5:11" ht="12.75" x14ac:dyDescent="0.2">
      <c r="E698" s="57"/>
      <c r="K698" s="57"/>
    </row>
    <row r="699" spans="5:11" ht="12.75" x14ac:dyDescent="0.2">
      <c r="E699" s="57"/>
      <c r="K699" s="57"/>
    </row>
    <row r="700" spans="5:11" ht="12.75" x14ac:dyDescent="0.2">
      <c r="E700" s="57"/>
      <c r="K700" s="57"/>
    </row>
    <row r="701" spans="5:11" ht="12.75" x14ac:dyDescent="0.2">
      <c r="E701" s="57"/>
      <c r="K701" s="57"/>
    </row>
    <row r="702" spans="5:11" ht="12.75" x14ac:dyDescent="0.2">
      <c r="E702" s="57"/>
      <c r="K702" s="57"/>
    </row>
    <row r="703" spans="5:11" ht="12.75" x14ac:dyDescent="0.2">
      <c r="E703" s="57"/>
      <c r="K703" s="57"/>
    </row>
    <row r="704" spans="5:11" ht="12.75" x14ac:dyDescent="0.2">
      <c r="E704" s="57"/>
      <c r="K704" s="57"/>
    </row>
    <row r="705" spans="5:11" ht="12.75" x14ac:dyDescent="0.2">
      <c r="E705" s="57"/>
      <c r="K705" s="57"/>
    </row>
    <row r="706" spans="5:11" ht="12.75" x14ac:dyDescent="0.2">
      <c r="E706" s="57"/>
      <c r="K706" s="57"/>
    </row>
    <row r="707" spans="5:11" ht="12.75" x14ac:dyDescent="0.2">
      <c r="E707" s="57"/>
      <c r="K707" s="57"/>
    </row>
    <row r="708" spans="5:11" ht="12.75" x14ac:dyDescent="0.2">
      <c r="E708" s="57"/>
      <c r="K708" s="57"/>
    </row>
    <row r="709" spans="5:11" ht="12.75" x14ac:dyDescent="0.2">
      <c r="E709" s="57"/>
      <c r="K709" s="57"/>
    </row>
    <row r="710" spans="5:11" ht="12.75" x14ac:dyDescent="0.2">
      <c r="E710" s="57"/>
      <c r="K710" s="57"/>
    </row>
    <row r="711" spans="5:11" ht="12.75" x14ac:dyDescent="0.2">
      <c r="E711" s="57"/>
      <c r="K711" s="57"/>
    </row>
    <row r="712" spans="5:11" ht="12.75" x14ac:dyDescent="0.2">
      <c r="E712" s="57"/>
      <c r="K712" s="57"/>
    </row>
    <row r="713" spans="5:11" ht="12.75" x14ac:dyDescent="0.2">
      <c r="E713" s="57"/>
      <c r="K713" s="57"/>
    </row>
    <row r="714" spans="5:11" ht="12.75" x14ac:dyDescent="0.2">
      <c r="E714" s="57"/>
      <c r="K714" s="57"/>
    </row>
    <row r="715" spans="5:11" ht="12.75" x14ac:dyDescent="0.2">
      <c r="E715" s="57"/>
      <c r="K715" s="57"/>
    </row>
    <row r="716" spans="5:11" ht="12.75" x14ac:dyDescent="0.2">
      <c r="E716" s="57"/>
      <c r="K716" s="57"/>
    </row>
    <row r="717" spans="5:11" ht="12.75" x14ac:dyDescent="0.2">
      <c r="E717" s="57"/>
      <c r="K717" s="57"/>
    </row>
    <row r="718" spans="5:11" ht="12.75" x14ac:dyDescent="0.2">
      <c r="E718" s="57"/>
      <c r="K718" s="57"/>
    </row>
    <row r="719" spans="5:11" ht="12.75" x14ac:dyDescent="0.2">
      <c r="E719" s="57"/>
      <c r="K719" s="57"/>
    </row>
    <row r="720" spans="5:11" ht="12.75" x14ac:dyDescent="0.2">
      <c r="E720" s="57"/>
      <c r="K720" s="57"/>
    </row>
    <row r="721" spans="5:11" ht="12.75" x14ac:dyDescent="0.2">
      <c r="E721" s="57"/>
      <c r="K721" s="57"/>
    </row>
    <row r="722" spans="5:11" ht="12.75" x14ac:dyDescent="0.2">
      <c r="E722" s="57"/>
      <c r="K722" s="57"/>
    </row>
    <row r="723" spans="5:11" ht="12.75" x14ac:dyDescent="0.2">
      <c r="E723" s="57"/>
      <c r="K723" s="57"/>
    </row>
    <row r="724" spans="5:11" ht="12.75" x14ac:dyDescent="0.2">
      <c r="E724" s="57"/>
      <c r="K724" s="57"/>
    </row>
    <row r="725" spans="5:11" ht="12.75" x14ac:dyDescent="0.2">
      <c r="E725" s="57"/>
      <c r="K725" s="57"/>
    </row>
    <row r="726" spans="5:11" ht="12.75" x14ac:dyDescent="0.2">
      <c r="E726" s="57"/>
      <c r="K726" s="57"/>
    </row>
    <row r="727" spans="5:11" ht="12.75" x14ac:dyDescent="0.2">
      <c r="E727" s="57"/>
      <c r="K727" s="57"/>
    </row>
    <row r="728" spans="5:11" ht="12.75" x14ac:dyDescent="0.2">
      <c r="E728" s="57"/>
      <c r="K728" s="57"/>
    </row>
    <row r="729" spans="5:11" ht="12.75" x14ac:dyDescent="0.2">
      <c r="E729" s="57"/>
      <c r="K729" s="57"/>
    </row>
    <row r="730" spans="5:11" ht="12.75" x14ac:dyDescent="0.2">
      <c r="E730" s="57"/>
      <c r="K730" s="57"/>
    </row>
    <row r="731" spans="5:11" ht="12.75" x14ac:dyDescent="0.2">
      <c r="E731" s="57"/>
      <c r="K731" s="57"/>
    </row>
    <row r="732" spans="5:11" ht="12.75" x14ac:dyDescent="0.2">
      <c r="E732" s="57"/>
      <c r="K732" s="57"/>
    </row>
    <row r="733" spans="5:11" ht="12.75" x14ac:dyDescent="0.2">
      <c r="E733" s="57"/>
      <c r="K733" s="57"/>
    </row>
    <row r="734" spans="5:11" ht="12.75" x14ac:dyDescent="0.2">
      <c r="E734" s="57"/>
      <c r="K734" s="57"/>
    </row>
    <row r="735" spans="5:11" ht="12.75" x14ac:dyDescent="0.2">
      <c r="E735" s="57"/>
      <c r="K735" s="57"/>
    </row>
    <row r="736" spans="5:11" ht="12.75" x14ac:dyDescent="0.2">
      <c r="E736" s="57"/>
      <c r="K736" s="57"/>
    </row>
    <row r="737" spans="5:11" ht="12.75" x14ac:dyDescent="0.2">
      <c r="E737" s="57"/>
      <c r="K737" s="57"/>
    </row>
    <row r="738" spans="5:11" ht="12.75" x14ac:dyDescent="0.2">
      <c r="E738" s="57"/>
      <c r="K738" s="57"/>
    </row>
    <row r="739" spans="5:11" ht="12.75" x14ac:dyDescent="0.2">
      <c r="E739" s="57"/>
      <c r="K739" s="57"/>
    </row>
    <row r="740" spans="5:11" ht="12.75" x14ac:dyDescent="0.2">
      <c r="E740" s="57"/>
      <c r="K740" s="57"/>
    </row>
    <row r="741" spans="5:11" ht="12.75" x14ac:dyDescent="0.2">
      <c r="E741" s="57"/>
      <c r="K741" s="57"/>
    </row>
    <row r="742" spans="5:11" ht="12.75" x14ac:dyDescent="0.2">
      <c r="E742" s="57"/>
      <c r="K742" s="57"/>
    </row>
    <row r="743" spans="5:11" ht="12.75" x14ac:dyDescent="0.2">
      <c r="E743" s="57"/>
      <c r="K743" s="57"/>
    </row>
    <row r="744" spans="5:11" ht="12.75" x14ac:dyDescent="0.2">
      <c r="E744" s="57"/>
      <c r="K744" s="57"/>
    </row>
    <row r="745" spans="5:11" ht="12.75" x14ac:dyDescent="0.2">
      <c r="E745" s="57"/>
      <c r="K745" s="57"/>
    </row>
    <row r="746" spans="5:11" ht="12.75" x14ac:dyDescent="0.2">
      <c r="E746" s="57"/>
      <c r="K746" s="57"/>
    </row>
    <row r="747" spans="5:11" ht="12.75" x14ac:dyDescent="0.2">
      <c r="E747" s="57"/>
      <c r="K747" s="57"/>
    </row>
    <row r="748" spans="5:11" ht="12.75" x14ac:dyDescent="0.2">
      <c r="E748" s="57"/>
      <c r="K748" s="57"/>
    </row>
    <row r="749" spans="5:11" ht="12.75" x14ac:dyDescent="0.2">
      <c r="E749" s="57"/>
      <c r="K749" s="57"/>
    </row>
    <row r="750" spans="5:11" ht="12.75" x14ac:dyDescent="0.2">
      <c r="E750" s="57"/>
      <c r="K750" s="57"/>
    </row>
    <row r="751" spans="5:11" ht="12.75" x14ac:dyDescent="0.2">
      <c r="E751" s="57"/>
      <c r="K751" s="57"/>
    </row>
    <row r="752" spans="5:11" ht="12.75" x14ac:dyDescent="0.2">
      <c r="E752" s="57"/>
      <c r="K752" s="57"/>
    </row>
    <row r="753" spans="5:11" ht="12.75" x14ac:dyDescent="0.2">
      <c r="E753" s="57"/>
      <c r="K753" s="57"/>
    </row>
    <row r="754" spans="5:11" ht="12.75" x14ac:dyDescent="0.2">
      <c r="E754" s="57"/>
      <c r="K754" s="57"/>
    </row>
    <row r="755" spans="5:11" ht="12.75" x14ac:dyDescent="0.2">
      <c r="E755" s="57"/>
      <c r="K755" s="57"/>
    </row>
    <row r="756" spans="5:11" ht="12.75" x14ac:dyDescent="0.2">
      <c r="E756" s="57"/>
      <c r="K756" s="57"/>
    </row>
    <row r="757" spans="5:11" ht="12.75" x14ac:dyDescent="0.2">
      <c r="E757" s="57"/>
      <c r="K757" s="57"/>
    </row>
    <row r="758" spans="5:11" ht="12.75" x14ac:dyDescent="0.2">
      <c r="E758" s="57"/>
      <c r="K758" s="57"/>
    </row>
    <row r="759" spans="5:11" ht="12.75" x14ac:dyDescent="0.2">
      <c r="E759" s="57"/>
      <c r="K759" s="57"/>
    </row>
    <row r="760" spans="5:11" ht="12.75" x14ac:dyDescent="0.2">
      <c r="E760" s="57"/>
      <c r="K760" s="57"/>
    </row>
    <row r="761" spans="5:11" ht="12.75" x14ac:dyDescent="0.2">
      <c r="E761" s="57"/>
      <c r="K761" s="57"/>
    </row>
    <row r="762" spans="5:11" ht="12.75" x14ac:dyDescent="0.2">
      <c r="E762" s="57"/>
      <c r="K762" s="57"/>
    </row>
    <row r="763" spans="5:11" ht="12.75" x14ac:dyDescent="0.2">
      <c r="E763" s="57"/>
      <c r="K763" s="57"/>
    </row>
    <row r="764" spans="5:11" ht="12.75" x14ac:dyDescent="0.2">
      <c r="E764" s="57"/>
      <c r="K764" s="57"/>
    </row>
    <row r="765" spans="5:11" ht="12.75" x14ac:dyDescent="0.2">
      <c r="E765" s="57"/>
      <c r="K765" s="57"/>
    </row>
    <row r="766" spans="5:11" ht="12.75" x14ac:dyDescent="0.2">
      <c r="E766" s="57"/>
      <c r="K766" s="57"/>
    </row>
    <row r="767" spans="5:11" ht="12.75" x14ac:dyDescent="0.2">
      <c r="E767" s="57"/>
      <c r="K767" s="57"/>
    </row>
    <row r="768" spans="5:11" ht="12.75" x14ac:dyDescent="0.2">
      <c r="E768" s="57"/>
      <c r="K768" s="57"/>
    </row>
    <row r="769" spans="5:11" ht="12.75" x14ac:dyDescent="0.2">
      <c r="E769" s="57"/>
      <c r="K769" s="57"/>
    </row>
    <row r="770" spans="5:11" ht="12.75" x14ac:dyDescent="0.2">
      <c r="E770" s="57"/>
      <c r="K770" s="57"/>
    </row>
    <row r="771" spans="5:11" ht="12.75" x14ac:dyDescent="0.2">
      <c r="E771" s="57"/>
      <c r="K771" s="57"/>
    </row>
    <row r="772" spans="5:11" ht="12.75" x14ac:dyDescent="0.2">
      <c r="E772" s="57"/>
      <c r="K772" s="57"/>
    </row>
    <row r="773" spans="5:11" ht="12.75" x14ac:dyDescent="0.2">
      <c r="E773" s="57"/>
      <c r="K773" s="57"/>
    </row>
    <row r="774" spans="5:11" ht="12.75" x14ac:dyDescent="0.2">
      <c r="E774" s="57"/>
      <c r="K774" s="57"/>
    </row>
    <row r="775" spans="5:11" ht="12.75" x14ac:dyDescent="0.2">
      <c r="E775" s="57"/>
      <c r="K775" s="57"/>
    </row>
    <row r="776" spans="5:11" ht="12.75" x14ac:dyDescent="0.2">
      <c r="E776" s="57"/>
      <c r="K776" s="57"/>
    </row>
    <row r="777" spans="5:11" ht="12.75" x14ac:dyDescent="0.2">
      <c r="E777" s="57"/>
      <c r="K777" s="57"/>
    </row>
    <row r="778" spans="5:11" ht="12.75" x14ac:dyDescent="0.2">
      <c r="E778" s="57"/>
      <c r="K778" s="57"/>
    </row>
    <row r="779" spans="5:11" ht="12.75" x14ac:dyDescent="0.2">
      <c r="E779" s="57"/>
      <c r="K779" s="57"/>
    </row>
    <row r="780" spans="5:11" ht="12.75" x14ac:dyDescent="0.2">
      <c r="E780" s="57"/>
      <c r="K780" s="57"/>
    </row>
    <row r="781" spans="5:11" ht="12.75" x14ac:dyDescent="0.2">
      <c r="E781" s="57"/>
      <c r="K781" s="57"/>
    </row>
    <row r="782" spans="5:11" ht="12.75" x14ac:dyDescent="0.2">
      <c r="E782" s="57"/>
      <c r="K782" s="57"/>
    </row>
    <row r="783" spans="5:11" ht="12.75" x14ac:dyDescent="0.2">
      <c r="E783" s="57"/>
      <c r="K783" s="57"/>
    </row>
    <row r="784" spans="5:11" ht="12.75" x14ac:dyDescent="0.2">
      <c r="E784" s="57"/>
      <c r="K784" s="57"/>
    </row>
    <row r="785" spans="5:11" ht="12.75" x14ac:dyDescent="0.2">
      <c r="E785" s="57"/>
      <c r="K785" s="57"/>
    </row>
    <row r="786" spans="5:11" ht="12.75" x14ac:dyDescent="0.2">
      <c r="E786" s="57"/>
      <c r="K786" s="57"/>
    </row>
    <row r="787" spans="5:11" ht="12.75" x14ac:dyDescent="0.2">
      <c r="E787" s="57"/>
      <c r="K787" s="57"/>
    </row>
    <row r="788" spans="5:11" ht="12.75" x14ac:dyDescent="0.2">
      <c r="E788" s="57"/>
      <c r="K788" s="57"/>
    </row>
    <row r="789" spans="5:11" ht="12.75" x14ac:dyDescent="0.2">
      <c r="E789" s="57"/>
      <c r="K789" s="57"/>
    </row>
    <row r="790" spans="5:11" ht="12.75" x14ac:dyDescent="0.2">
      <c r="E790" s="57"/>
      <c r="K790" s="57"/>
    </row>
    <row r="791" spans="5:11" ht="12.75" x14ac:dyDescent="0.2">
      <c r="E791" s="57"/>
      <c r="K791" s="57"/>
    </row>
    <row r="792" spans="5:11" ht="12.75" x14ac:dyDescent="0.2">
      <c r="E792" s="57"/>
      <c r="K792" s="57"/>
    </row>
    <row r="793" spans="5:11" ht="12.75" x14ac:dyDescent="0.2">
      <c r="E793" s="57"/>
      <c r="K793" s="57"/>
    </row>
    <row r="794" spans="5:11" ht="12.75" x14ac:dyDescent="0.2">
      <c r="E794" s="57"/>
      <c r="K794" s="57"/>
    </row>
    <row r="795" spans="5:11" ht="12.75" x14ac:dyDescent="0.2">
      <c r="E795" s="57"/>
      <c r="K795" s="57"/>
    </row>
    <row r="796" spans="5:11" ht="12.75" x14ac:dyDescent="0.2">
      <c r="E796" s="57"/>
      <c r="K796" s="57"/>
    </row>
    <row r="797" spans="5:11" ht="12.75" x14ac:dyDescent="0.2">
      <c r="E797" s="57"/>
      <c r="K797" s="57"/>
    </row>
    <row r="798" spans="5:11" ht="12.75" x14ac:dyDescent="0.2">
      <c r="E798" s="57"/>
      <c r="K798" s="57"/>
    </row>
    <row r="799" spans="5:11" ht="12.75" x14ac:dyDescent="0.2">
      <c r="E799" s="57"/>
      <c r="K799" s="57"/>
    </row>
    <row r="800" spans="5:11" ht="12.75" x14ac:dyDescent="0.2">
      <c r="E800" s="57"/>
      <c r="K800" s="57"/>
    </row>
    <row r="801" spans="5:11" ht="12.75" x14ac:dyDescent="0.2">
      <c r="E801" s="57"/>
      <c r="K801" s="57"/>
    </row>
    <row r="802" spans="5:11" ht="12.75" x14ac:dyDescent="0.2">
      <c r="E802" s="57"/>
      <c r="K802" s="57"/>
    </row>
    <row r="803" spans="5:11" ht="12.75" x14ac:dyDescent="0.2">
      <c r="E803" s="57"/>
      <c r="K803" s="57"/>
    </row>
    <row r="804" spans="5:11" ht="12.75" x14ac:dyDescent="0.2">
      <c r="E804" s="57"/>
      <c r="K804" s="57"/>
    </row>
    <row r="805" spans="5:11" ht="12.75" x14ac:dyDescent="0.2">
      <c r="E805" s="57"/>
      <c r="K805" s="57"/>
    </row>
    <row r="806" spans="5:11" ht="12.75" x14ac:dyDescent="0.2">
      <c r="E806" s="57"/>
      <c r="K806" s="57"/>
    </row>
    <row r="807" spans="5:11" ht="12.75" x14ac:dyDescent="0.2">
      <c r="E807" s="57"/>
      <c r="K807" s="57"/>
    </row>
    <row r="808" spans="5:11" ht="12.75" x14ac:dyDescent="0.2">
      <c r="E808" s="57"/>
      <c r="K808" s="57"/>
    </row>
    <row r="809" spans="5:11" ht="12.75" x14ac:dyDescent="0.2">
      <c r="E809" s="57"/>
      <c r="K809" s="57"/>
    </row>
    <row r="810" spans="5:11" ht="12.75" x14ac:dyDescent="0.2">
      <c r="E810" s="57"/>
      <c r="K810" s="57"/>
    </row>
    <row r="811" spans="5:11" ht="12.75" x14ac:dyDescent="0.2">
      <c r="E811" s="57"/>
      <c r="K811" s="57"/>
    </row>
    <row r="812" spans="5:11" ht="12.75" x14ac:dyDescent="0.2">
      <c r="E812" s="57"/>
      <c r="K812" s="57"/>
    </row>
    <row r="813" spans="5:11" ht="12.75" x14ac:dyDescent="0.2">
      <c r="E813" s="57"/>
      <c r="K813" s="57"/>
    </row>
    <row r="814" spans="5:11" ht="12.75" x14ac:dyDescent="0.2">
      <c r="E814" s="57"/>
      <c r="K814" s="57"/>
    </row>
    <row r="815" spans="5:11" ht="12.75" x14ac:dyDescent="0.2">
      <c r="E815" s="57"/>
      <c r="K815" s="57"/>
    </row>
    <row r="816" spans="5:11" ht="12.75" x14ac:dyDescent="0.2">
      <c r="E816" s="57"/>
      <c r="K816" s="57"/>
    </row>
    <row r="817" spans="5:11" ht="12.75" x14ac:dyDescent="0.2">
      <c r="E817" s="57"/>
      <c r="K817" s="57"/>
    </row>
    <row r="818" spans="5:11" ht="12.75" x14ac:dyDescent="0.2">
      <c r="E818" s="57"/>
      <c r="K818" s="57"/>
    </row>
    <row r="819" spans="5:11" ht="12.75" x14ac:dyDescent="0.2">
      <c r="E819" s="57"/>
      <c r="K819" s="57"/>
    </row>
    <row r="820" spans="5:11" ht="12.75" x14ac:dyDescent="0.2">
      <c r="E820" s="57"/>
      <c r="K820" s="57"/>
    </row>
    <row r="821" spans="5:11" ht="12.75" x14ac:dyDescent="0.2">
      <c r="E821" s="57"/>
      <c r="K821" s="57"/>
    </row>
    <row r="822" spans="5:11" ht="12.75" x14ac:dyDescent="0.2">
      <c r="E822" s="57"/>
      <c r="K822" s="57"/>
    </row>
    <row r="823" spans="5:11" ht="12.75" x14ac:dyDescent="0.2">
      <c r="E823" s="57"/>
      <c r="K823" s="57"/>
    </row>
    <row r="824" spans="5:11" ht="12.75" x14ac:dyDescent="0.2">
      <c r="E824" s="57"/>
      <c r="K824" s="57"/>
    </row>
    <row r="825" spans="5:11" ht="12.75" x14ac:dyDescent="0.2">
      <c r="E825" s="57"/>
      <c r="K825" s="57"/>
    </row>
    <row r="826" spans="5:11" ht="12.75" x14ac:dyDescent="0.2">
      <c r="E826" s="57"/>
      <c r="K826" s="57"/>
    </row>
    <row r="827" spans="5:11" ht="12.75" x14ac:dyDescent="0.2">
      <c r="E827" s="57"/>
      <c r="K827" s="57"/>
    </row>
    <row r="828" spans="5:11" ht="12.75" x14ac:dyDescent="0.2">
      <c r="E828" s="57"/>
      <c r="K828" s="57"/>
    </row>
    <row r="829" spans="5:11" ht="12.75" x14ac:dyDescent="0.2">
      <c r="E829" s="57"/>
      <c r="K829" s="57"/>
    </row>
    <row r="830" spans="5:11" ht="12.75" x14ac:dyDescent="0.2">
      <c r="E830" s="57"/>
      <c r="K830" s="57"/>
    </row>
    <row r="831" spans="5:11" ht="12.75" x14ac:dyDescent="0.2">
      <c r="E831" s="57"/>
      <c r="K831" s="57"/>
    </row>
    <row r="832" spans="5:11" ht="12.75" x14ac:dyDescent="0.2">
      <c r="E832" s="57"/>
      <c r="K832" s="57"/>
    </row>
    <row r="833" spans="5:11" ht="12.75" x14ac:dyDescent="0.2">
      <c r="E833" s="57"/>
      <c r="K833" s="57"/>
    </row>
    <row r="834" spans="5:11" ht="12.75" x14ac:dyDescent="0.2">
      <c r="E834" s="57"/>
      <c r="K834" s="57"/>
    </row>
    <row r="835" spans="5:11" ht="12.75" x14ac:dyDescent="0.2">
      <c r="E835" s="57"/>
      <c r="K835" s="57"/>
    </row>
    <row r="836" spans="5:11" ht="12.75" x14ac:dyDescent="0.2">
      <c r="E836" s="57"/>
      <c r="K836" s="57"/>
    </row>
    <row r="837" spans="5:11" ht="12.75" x14ac:dyDescent="0.2">
      <c r="E837" s="57"/>
      <c r="K837" s="57"/>
    </row>
    <row r="838" spans="5:11" ht="12.75" x14ac:dyDescent="0.2">
      <c r="E838" s="57"/>
      <c r="K838" s="57"/>
    </row>
    <row r="839" spans="5:11" ht="12.75" x14ac:dyDescent="0.2">
      <c r="E839" s="57"/>
      <c r="K839" s="57"/>
    </row>
    <row r="840" spans="5:11" ht="12.75" x14ac:dyDescent="0.2">
      <c r="E840" s="57"/>
      <c r="K840" s="57"/>
    </row>
    <row r="841" spans="5:11" ht="12.75" x14ac:dyDescent="0.2">
      <c r="E841" s="57"/>
      <c r="K841" s="57"/>
    </row>
    <row r="842" spans="5:11" ht="12.75" x14ac:dyDescent="0.2">
      <c r="E842" s="57"/>
      <c r="K842" s="57"/>
    </row>
    <row r="843" spans="5:11" ht="12.75" x14ac:dyDescent="0.2">
      <c r="E843" s="57"/>
      <c r="K843" s="57"/>
    </row>
    <row r="844" spans="5:11" ht="12.75" x14ac:dyDescent="0.2">
      <c r="E844" s="57"/>
      <c r="K844" s="57"/>
    </row>
    <row r="845" spans="5:11" ht="12.75" x14ac:dyDescent="0.2">
      <c r="E845" s="57"/>
      <c r="K845" s="57"/>
    </row>
    <row r="846" spans="5:11" ht="12.75" x14ac:dyDescent="0.2">
      <c r="E846" s="57"/>
      <c r="K846" s="57"/>
    </row>
    <row r="847" spans="5:11" ht="12.75" x14ac:dyDescent="0.2">
      <c r="E847" s="57"/>
      <c r="K847" s="57"/>
    </row>
    <row r="848" spans="5:11" ht="12.75" x14ac:dyDescent="0.2">
      <c r="E848" s="57"/>
      <c r="K848" s="57"/>
    </row>
    <row r="849" spans="5:11" ht="12.75" x14ac:dyDescent="0.2">
      <c r="E849" s="57"/>
      <c r="K849" s="57"/>
    </row>
    <row r="850" spans="5:11" ht="12.75" x14ac:dyDescent="0.2">
      <c r="E850" s="57"/>
      <c r="K850" s="57"/>
    </row>
    <row r="851" spans="5:11" ht="12.75" x14ac:dyDescent="0.2">
      <c r="E851" s="57"/>
      <c r="K851" s="57"/>
    </row>
    <row r="852" spans="5:11" ht="12.75" x14ac:dyDescent="0.2">
      <c r="E852" s="57"/>
      <c r="K852" s="57"/>
    </row>
    <row r="853" spans="5:11" ht="12.75" x14ac:dyDescent="0.2">
      <c r="E853" s="57"/>
      <c r="K853" s="57"/>
    </row>
    <row r="854" spans="5:11" ht="12.75" x14ac:dyDescent="0.2">
      <c r="E854" s="57"/>
      <c r="K854" s="57"/>
    </row>
    <row r="855" spans="5:11" ht="12.75" x14ac:dyDescent="0.2">
      <c r="E855" s="57"/>
      <c r="K855" s="57"/>
    </row>
    <row r="856" spans="5:11" ht="12.75" x14ac:dyDescent="0.2">
      <c r="E856" s="57"/>
      <c r="K856" s="57"/>
    </row>
    <row r="857" spans="5:11" ht="12.75" x14ac:dyDescent="0.2">
      <c r="E857" s="57"/>
      <c r="K857" s="57"/>
    </row>
    <row r="858" spans="5:11" ht="12.75" x14ac:dyDescent="0.2">
      <c r="E858" s="57"/>
      <c r="K858" s="57"/>
    </row>
    <row r="859" spans="5:11" ht="12.75" x14ac:dyDescent="0.2">
      <c r="E859" s="57"/>
      <c r="K859" s="57"/>
    </row>
    <row r="860" spans="5:11" ht="12.75" x14ac:dyDescent="0.2">
      <c r="E860" s="57"/>
      <c r="K860" s="57"/>
    </row>
    <row r="861" spans="5:11" ht="12.75" x14ac:dyDescent="0.2">
      <c r="E861" s="57"/>
      <c r="K861" s="57"/>
    </row>
    <row r="862" spans="5:11" ht="12.75" x14ac:dyDescent="0.2">
      <c r="E862" s="57"/>
      <c r="K862" s="57"/>
    </row>
    <row r="863" spans="5:11" ht="12.75" x14ac:dyDescent="0.2">
      <c r="E863" s="57"/>
      <c r="K863" s="57"/>
    </row>
    <row r="864" spans="5:11" ht="12.75" x14ac:dyDescent="0.2">
      <c r="E864" s="57"/>
      <c r="K864" s="57"/>
    </row>
    <row r="865" spans="5:11" ht="12.75" x14ac:dyDescent="0.2">
      <c r="E865" s="57"/>
      <c r="K865" s="57"/>
    </row>
    <row r="866" spans="5:11" ht="12.75" x14ac:dyDescent="0.2">
      <c r="E866" s="57"/>
      <c r="K866" s="57"/>
    </row>
    <row r="867" spans="5:11" ht="12.75" x14ac:dyDescent="0.2">
      <c r="E867" s="57"/>
      <c r="K867" s="57"/>
    </row>
    <row r="868" spans="5:11" ht="12.75" x14ac:dyDescent="0.2">
      <c r="E868" s="57"/>
      <c r="K868" s="57"/>
    </row>
    <row r="869" spans="5:11" ht="12.75" x14ac:dyDescent="0.2">
      <c r="E869" s="57"/>
      <c r="K869" s="57"/>
    </row>
    <row r="870" spans="5:11" ht="12.75" x14ac:dyDescent="0.2">
      <c r="E870" s="57"/>
      <c r="K870" s="57"/>
    </row>
    <row r="871" spans="5:11" ht="12.75" x14ac:dyDescent="0.2">
      <c r="E871" s="57"/>
      <c r="K871" s="57"/>
    </row>
    <row r="872" spans="5:11" ht="12.75" x14ac:dyDescent="0.2">
      <c r="E872" s="57"/>
      <c r="K872" s="57"/>
    </row>
    <row r="873" spans="5:11" ht="12.75" x14ac:dyDescent="0.2">
      <c r="E873" s="57"/>
      <c r="K873" s="57"/>
    </row>
    <row r="874" spans="5:11" ht="12.75" x14ac:dyDescent="0.2">
      <c r="E874" s="57"/>
      <c r="K874" s="57"/>
    </row>
    <row r="875" spans="5:11" ht="12.75" x14ac:dyDescent="0.2">
      <c r="E875" s="57"/>
      <c r="K875" s="57"/>
    </row>
    <row r="876" spans="5:11" ht="12.75" x14ac:dyDescent="0.2">
      <c r="E876" s="57"/>
      <c r="K876" s="57"/>
    </row>
    <row r="877" spans="5:11" ht="12.75" x14ac:dyDescent="0.2">
      <c r="E877" s="57"/>
      <c r="K877" s="57"/>
    </row>
    <row r="878" spans="5:11" ht="12.75" x14ac:dyDescent="0.2">
      <c r="E878" s="57"/>
      <c r="K878" s="57"/>
    </row>
    <row r="879" spans="5:11" ht="12.75" x14ac:dyDescent="0.2">
      <c r="E879" s="57"/>
      <c r="K879" s="57"/>
    </row>
    <row r="880" spans="5:11" ht="12.75" x14ac:dyDescent="0.2">
      <c r="E880" s="57"/>
      <c r="K880" s="57"/>
    </row>
    <row r="881" spans="5:11" ht="12.75" x14ac:dyDescent="0.2">
      <c r="E881" s="57"/>
      <c r="K881" s="57"/>
    </row>
    <row r="882" spans="5:11" ht="12.75" x14ac:dyDescent="0.2">
      <c r="E882" s="57"/>
      <c r="K882" s="57"/>
    </row>
    <row r="883" spans="5:11" ht="12.75" x14ac:dyDescent="0.2">
      <c r="E883" s="57"/>
      <c r="K883" s="57"/>
    </row>
    <row r="884" spans="5:11" ht="12.75" x14ac:dyDescent="0.2">
      <c r="E884" s="57"/>
      <c r="K884" s="57"/>
    </row>
    <row r="885" spans="5:11" ht="12.75" x14ac:dyDescent="0.2">
      <c r="E885" s="57"/>
      <c r="K885" s="57"/>
    </row>
    <row r="886" spans="5:11" ht="12.75" x14ac:dyDescent="0.2">
      <c r="E886" s="57"/>
      <c r="K886" s="57"/>
    </row>
    <row r="887" spans="5:11" ht="12.75" x14ac:dyDescent="0.2">
      <c r="E887" s="57"/>
      <c r="K887" s="57"/>
    </row>
    <row r="888" spans="5:11" ht="12.75" x14ac:dyDescent="0.2">
      <c r="E888" s="57"/>
      <c r="K888" s="57"/>
    </row>
    <row r="889" spans="5:11" ht="12.75" x14ac:dyDescent="0.2">
      <c r="E889" s="57"/>
      <c r="K889" s="57"/>
    </row>
    <row r="890" spans="5:11" ht="12.75" x14ac:dyDescent="0.2">
      <c r="E890" s="57"/>
      <c r="K890" s="57"/>
    </row>
    <row r="891" spans="5:11" ht="12.75" x14ac:dyDescent="0.2">
      <c r="E891" s="57"/>
      <c r="K891" s="57"/>
    </row>
    <row r="892" spans="5:11" ht="12.75" x14ac:dyDescent="0.2">
      <c r="E892" s="57"/>
      <c r="K892" s="57"/>
    </row>
    <row r="893" spans="5:11" ht="12.75" x14ac:dyDescent="0.2">
      <c r="E893" s="57"/>
      <c r="K893" s="57"/>
    </row>
    <row r="894" spans="5:11" ht="12.75" x14ac:dyDescent="0.2">
      <c r="E894" s="57"/>
      <c r="K894" s="57"/>
    </row>
    <row r="895" spans="5:11" ht="12.75" x14ac:dyDescent="0.2">
      <c r="E895" s="57"/>
      <c r="K895" s="57"/>
    </row>
    <row r="896" spans="5:11" ht="12.75" x14ac:dyDescent="0.2">
      <c r="E896" s="57"/>
      <c r="K896" s="57"/>
    </row>
    <row r="897" spans="5:11" ht="12.75" x14ac:dyDescent="0.2">
      <c r="E897" s="57"/>
      <c r="K897" s="57"/>
    </row>
    <row r="898" spans="5:11" ht="12.75" x14ac:dyDescent="0.2">
      <c r="E898" s="57"/>
      <c r="K898" s="57"/>
    </row>
    <row r="899" spans="5:11" ht="12.75" x14ac:dyDescent="0.2">
      <c r="E899" s="57"/>
      <c r="K899" s="57"/>
    </row>
    <row r="900" spans="5:11" ht="12.75" x14ac:dyDescent="0.2">
      <c r="E900" s="57"/>
      <c r="K900" s="57"/>
    </row>
    <row r="901" spans="5:11" ht="12.75" x14ac:dyDescent="0.2">
      <c r="E901" s="57"/>
      <c r="K901" s="57"/>
    </row>
    <row r="902" spans="5:11" ht="12.75" x14ac:dyDescent="0.2">
      <c r="E902" s="57"/>
      <c r="K902" s="57"/>
    </row>
    <row r="903" spans="5:11" ht="12.75" x14ac:dyDescent="0.2">
      <c r="E903" s="57"/>
      <c r="K903" s="57"/>
    </row>
    <row r="904" spans="5:11" ht="12.75" x14ac:dyDescent="0.2">
      <c r="E904" s="57"/>
      <c r="K904" s="57"/>
    </row>
    <row r="905" spans="5:11" ht="12.75" x14ac:dyDescent="0.2">
      <c r="E905" s="57"/>
      <c r="K905" s="57"/>
    </row>
    <row r="906" spans="5:11" ht="12.75" x14ac:dyDescent="0.2">
      <c r="E906" s="57"/>
      <c r="K906" s="57"/>
    </row>
    <row r="907" spans="5:11" ht="12.75" x14ac:dyDescent="0.2">
      <c r="E907" s="57"/>
      <c r="K907" s="57"/>
    </row>
    <row r="908" spans="5:11" ht="12.75" x14ac:dyDescent="0.2">
      <c r="E908" s="57"/>
      <c r="K908" s="57"/>
    </row>
    <row r="909" spans="5:11" ht="12.75" x14ac:dyDescent="0.2">
      <c r="E909" s="57"/>
      <c r="K909" s="57"/>
    </row>
    <row r="910" spans="5:11" ht="12.75" x14ac:dyDescent="0.2">
      <c r="E910" s="57"/>
      <c r="K910" s="57"/>
    </row>
    <row r="911" spans="5:11" ht="12.75" x14ac:dyDescent="0.2">
      <c r="E911" s="57"/>
      <c r="K911" s="57"/>
    </row>
    <row r="912" spans="5:11" ht="12.75" x14ac:dyDescent="0.2">
      <c r="E912" s="57"/>
      <c r="K912" s="57"/>
    </row>
    <row r="913" spans="5:11" ht="12.75" x14ac:dyDescent="0.2">
      <c r="E913" s="57"/>
      <c r="K913" s="57"/>
    </row>
    <row r="914" spans="5:11" ht="12.75" x14ac:dyDescent="0.2">
      <c r="E914" s="57"/>
      <c r="K914" s="57"/>
    </row>
    <row r="915" spans="5:11" ht="12.75" x14ac:dyDescent="0.2">
      <c r="E915" s="57"/>
      <c r="K915" s="57"/>
    </row>
    <row r="916" spans="5:11" ht="12.75" x14ac:dyDescent="0.2">
      <c r="E916" s="57"/>
      <c r="K916" s="57"/>
    </row>
    <row r="917" spans="5:11" ht="12.75" x14ac:dyDescent="0.2">
      <c r="E917" s="57"/>
      <c r="K917" s="57"/>
    </row>
    <row r="918" spans="5:11" ht="12.75" x14ac:dyDescent="0.2">
      <c r="E918" s="57"/>
      <c r="K918" s="57"/>
    </row>
    <row r="919" spans="5:11" ht="12.75" x14ac:dyDescent="0.2">
      <c r="E919" s="57"/>
      <c r="K919" s="57"/>
    </row>
    <row r="920" spans="5:11" ht="12.75" x14ac:dyDescent="0.2">
      <c r="E920" s="57"/>
      <c r="K920" s="57"/>
    </row>
    <row r="921" spans="5:11" ht="12.75" x14ac:dyDescent="0.2">
      <c r="E921" s="57"/>
      <c r="K921" s="57"/>
    </row>
    <row r="922" spans="5:11" ht="12.75" x14ac:dyDescent="0.2">
      <c r="E922" s="57"/>
      <c r="K922" s="57"/>
    </row>
    <row r="923" spans="5:11" ht="12.75" x14ac:dyDescent="0.2">
      <c r="E923" s="57"/>
      <c r="K923" s="57"/>
    </row>
    <row r="924" spans="5:11" ht="12.75" x14ac:dyDescent="0.2">
      <c r="E924" s="57"/>
      <c r="K924" s="57"/>
    </row>
    <row r="925" spans="5:11" ht="12.75" x14ac:dyDescent="0.2">
      <c r="E925" s="57"/>
      <c r="K925" s="57"/>
    </row>
    <row r="926" spans="5:11" ht="12.75" x14ac:dyDescent="0.2">
      <c r="E926" s="57"/>
      <c r="K926" s="57"/>
    </row>
    <row r="927" spans="5:11" ht="12.75" x14ac:dyDescent="0.2">
      <c r="E927" s="57"/>
      <c r="K927" s="57"/>
    </row>
    <row r="928" spans="5:11" ht="12.75" x14ac:dyDescent="0.2">
      <c r="E928" s="57"/>
      <c r="K928" s="57"/>
    </row>
    <row r="929" spans="5:11" ht="12.75" x14ac:dyDescent="0.2">
      <c r="E929" s="57"/>
      <c r="K929" s="57"/>
    </row>
    <row r="930" spans="5:11" ht="12.75" x14ac:dyDescent="0.2">
      <c r="E930" s="57"/>
      <c r="K930" s="57"/>
    </row>
    <row r="931" spans="5:11" ht="12.75" x14ac:dyDescent="0.2">
      <c r="E931" s="57"/>
      <c r="K931" s="57"/>
    </row>
    <row r="932" spans="5:11" ht="12.75" x14ac:dyDescent="0.2">
      <c r="E932" s="57"/>
      <c r="K932" s="57"/>
    </row>
    <row r="933" spans="5:11" ht="12.75" x14ac:dyDescent="0.2">
      <c r="E933" s="57"/>
      <c r="K933" s="57"/>
    </row>
    <row r="934" spans="5:11" ht="12.75" x14ac:dyDescent="0.2">
      <c r="E934" s="57"/>
      <c r="K934" s="57"/>
    </row>
    <row r="935" spans="5:11" ht="12.75" x14ac:dyDescent="0.2">
      <c r="E935" s="57"/>
      <c r="K935" s="57"/>
    </row>
    <row r="936" spans="5:11" ht="12.75" x14ac:dyDescent="0.2">
      <c r="E936" s="57"/>
      <c r="K936" s="57"/>
    </row>
    <row r="937" spans="5:11" ht="12.75" x14ac:dyDescent="0.2">
      <c r="E937" s="57"/>
      <c r="K937" s="57"/>
    </row>
    <row r="938" spans="5:11" ht="12.75" x14ac:dyDescent="0.2">
      <c r="E938" s="57"/>
      <c r="K938" s="57"/>
    </row>
    <row r="939" spans="5:11" ht="12.75" x14ac:dyDescent="0.2">
      <c r="E939" s="57"/>
      <c r="K939" s="57"/>
    </row>
    <row r="940" spans="5:11" ht="12.75" x14ac:dyDescent="0.2">
      <c r="E940" s="57"/>
      <c r="K940" s="57"/>
    </row>
    <row r="941" spans="5:11" ht="12.75" x14ac:dyDescent="0.2">
      <c r="E941" s="57"/>
      <c r="K941" s="57"/>
    </row>
    <row r="942" spans="5:11" ht="12.75" x14ac:dyDescent="0.2">
      <c r="E942" s="57"/>
      <c r="K942" s="57"/>
    </row>
    <row r="943" spans="5:11" ht="12.75" x14ac:dyDescent="0.2">
      <c r="E943" s="57"/>
      <c r="K943" s="57"/>
    </row>
    <row r="944" spans="5:11" ht="12.75" x14ac:dyDescent="0.2">
      <c r="E944" s="57"/>
      <c r="K944" s="57"/>
    </row>
    <row r="945" spans="5:11" ht="12.75" x14ac:dyDescent="0.2">
      <c r="E945" s="57"/>
      <c r="K945" s="57"/>
    </row>
    <row r="946" spans="5:11" ht="12.75" x14ac:dyDescent="0.2">
      <c r="E946" s="57"/>
      <c r="K946" s="57"/>
    </row>
    <row r="947" spans="5:11" ht="12.75" x14ac:dyDescent="0.2">
      <c r="E947" s="57"/>
      <c r="K947" s="57"/>
    </row>
    <row r="948" spans="5:11" ht="12.75" x14ac:dyDescent="0.2">
      <c r="E948" s="57"/>
      <c r="K948" s="57"/>
    </row>
    <row r="949" spans="5:11" ht="12.75" x14ac:dyDescent="0.2">
      <c r="E949" s="57"/>
      <c r="K949" s="57"/>
    </row>
    <row r="950" spans="5:11" ht="12.75" x14ac:dyDescent="0.2">
      <c r="E950" s="57"/>
      <c r="K950" s="57"/>
    </row>
    <row r="951" spans="5:11" ht="12.75" x14ac:dyDescent="0.2">
      <c r="E951" s="57"/>
      <c r="K951" s="57"/>
    </row>
    <row r="952" spans="5:11" ht="12.75" x14ac:dyDescent="0.2">
      <c r="E952" s="57"/>
      <c r="K952" s="57"/>
    </row>
    <row r="953" spans="5:11" ht="12.75" x14ac:dyDescent="0.2">
      <c r="E953" s="57"/>
      <c r="K953" s="57"/>
    </row>
    <row r="954" spans="5:11" ht="12.75" x14ac:dyDescent="0.2">
      <c r="E954" s="57"/>
      <c r="K954" s="57"/>
    </row>
    <row r="955" spans="5:11" ht="12.75" x14ac:dyDescent="0.2">
      <c r="E955" s="57"/>
      <c r="K955" s="57"/>
    </row>
    <row r="956" spans="5:11" ht="12.75" x14ac:dyDescent="0.2">
      <c r="E956" s="57"/>
      <c r="K956" s="57"/>
    </row>
    <row r="957" spans="5:11" ht="12.75" x14ac:dyDescent="0.2">
      <c r="E957" s="57"/>
      <c r="K957" s="57"/>
    </row>
    <row r="958" spans="5:11" ht="12.75" x14ac:dyDescent="0.2">
      <c r="E958" s="57"/>
      <c r="K958" s="57"/>
    </row>
    <row r="959" spans="5:11" ht="12.75" x14ac:dyDescent="0.2">
      <c r="E959" s="57"/>
      <c r="K959" s="57"/>
    </row>
    <row r="960" spans="5:11" ht="12.75" x14ac:dyDescent="0.2">
      <c r="E960" s="57"/>
      <c r="K960" s="57"/>
    </row>
    <row r="961" spans="5:11" ht="12.75" x14ac:dyDescent="0.2">
      <c r="E961" s="57"/>
      <c r="K961" s="57"/>
    </row>
    <row r="962" spans="5:11" ht="12.75" x14ac:dyDescent="0.2">
      <c r="E962" s="57"/>
      <c r="K962" s="57"/>
    </row>
    <row r="963" spans="5:11" ht="12.75" x14ac:dyDescent="0.2">
      <c r="E963" s="57"/>
      <c r="K963" s="57"/>
    </row>
    <row r="964" spans="5:11" ht="12.75" x14ac:dyDescent="0.2">
      <c r="E964" s="57"/>
      <c r="K964" s="57"/>
    </row>
    <row r="965" spans="5:11" ht="12.75" x14ac:dyDescent="0.2">
      <c r="E965" s="57"/>
      <c r="K965" s="57"/>
    </row>
    <row r="966" spans="5:11" ht="12.75" x14ac:dyDescent="0.2">
      <c r="E966" s="57"/>
      <c r="K966" s="57"/>
    </row>
    <row r="967" spans="5:11" ht="12.75" x14ac:dyDescent="0.2">
      <c r="E967" s="57"/>
      <c r="K967" s="57"/>
    </row>
    <row r="968" spans="5:11" ht="12.75" x14ac:dyDescent="0.2">
      <c r="E968" s="57"/>
      <c r="K968" s="57"/>
    </row>
    <row r="969" spans="5:11" ht="12.75" x14ac:dyDescent="0.2">
      <c r="E969" s="57"/>
      <c r="K969" s="57"/>
    </row>
    <row r="970" spans="5:11" ht="12.75" x14ac:dyDescent="0.2">
      <c r="E970" s="57"/>
      <c r="K970" s="57"/>
    </row>
    <row r="971" spans="5:11" ht="12.75" x14ac:dyDescent="0.2">
      <c r="E971" s="57"/>
      <c r="K971" s="57"/>
    </row>
    <row r="972" spans="5:11" ht="12.75" x14ac:dyDescent="0.2">
      <c r="E972" s="57"/>
      <c r="K972" s="57"/>
    </row>
    <row r="973" spans="5:11" ht="12.75" x14ac:dyDescent="0.2">
      <c r="E973" s="57"/>
      <c r="K973" s="57"/>
    </row>
    <row r="974" spans="5:11" ht="12.75" x14ac:dyDescent="0.2">
      <c r="E974" s="57"/>
      <c r="K974" s="57"/>
    </row>
    <row r="975" spans="5:11" ht="12.75" x14ac:dyDescent="0.2">
      <c r="E975" s="57"/>
      <c r="K975" s="57"/>
    </row>
    <row r="976" spans="5:11" ht="12.75" x14ac:dyDescent="0.2">
      <c r="E976" s="57"/>
      <c r="K976" s="57"/>
    </row>
    <row r="977" spans="5:11" ht="12.75" x14ac:dyDescent="0.2">
      <c r="E977" s="57"/>
      <c r="K977" s="57"/>
    </row>
    <row r="978" spans="5:11" ht="12.75" x14ac:dyDescent="0.2">
      <c r="E978" s="57"/>
      <c r="K978" s="57"/>
    </row>
    <row r="979" spans="5:11" ht="12.75" x14ac:dyDescent="0.2">
      <c r="E979" s="57"/>
      <c r="K979" s="57"/>
    </row>
    <row r="980" spans="5:11" ht="12.75" x14ac:dyDescent="0.2">
      <c r="E980" s="57"/>
      <c r="K980" s="57"/>
    </row>
    <row r="981" spans="5:11" ht="12.75" x14ac:dyDescent="0.2">
      <c r="E981" s="57"/>
      <c r="K981" s="57"/>
    </row>
    <row r="982" spans="5:11" ht="12.75" x14ac:dyDescent="0.2">
      <c r="E982" s="57"/>
      <c r="K982" s="57"/>
    </row>
    <row r="983" spans="5:11" ht="12.75" x14ac:dyDescent="0.2">
      <c r="E983" s="57"/>
      <c r="K983" s="57"/>
    </row>
    <row r="984" spans="5:11" ht="12.75" x14ac:dyDescent="0.2">
      <c r="E984" s="57"/>
      <c r="K984" s="57"/>
    </row>
    <row r="985" spans="5:11" ht="12.75" x14ac:dyDescent="0.2">
      <c r="E985" s="57"/>
      <c r="K985" s="57"/>
    </row>
    <row r="986" spans="5:11" ht="12.75" x14ac:dyDescent="0.2">
      <c r="E986" s="57"/>
      <c r="K986" s="57"/>
    </row>
    <row r="987" spans="5:11" ht="12.75" x14ac:dyDescent="0.2">
      <c r="E987" s="57"/>
      <c r="K987" s="57"/>
    </row>
    <row r="988" spans="5:11" ht="12.75" x14ac:dyDescent="0.2">
      <c r="E988" s="57"/>
      <c r="K988" s="57"/>
    </row>
    <row r="989" spans="5:11" ht="12.75" x14ac:dyDescent="0.2">
      <c r="E989" s="57"/>
      <c r="K989" s="57"/>
    </row>
    <row r="990" spans="5:11" ht="12.75" x14ac:dyDescent="0.2">
      <c r="E990" s="57"/>
      <c r="K990" s="57"/>
    </row>
    <row r="991" spans="5:11" ht="12.75" x14ac:dyDescent="0.2">
      <c r="E991" s="57"/>
      <c r="K991" s="57"/>
    </row>
    <row r="992" spans="5:11" ht="12.75" x14ac:dyDescent="0.2">
      <c r="E992" s="57"/>
      <c r="K992" s="57"/>
    </row>
    <row r="993" spans="5:11" ht="12.75" x14ac:dyDescent="0.2">
      <c r="E993" s="57"/>
      <c r="K993" s="57"/>
    </row>
    <row r="994" spans="5:11" ht="12.75" x14ac:dyDescent="0.2">
      <c r="E994" s="57"/>
      <c r="K994" s="57"/>
    </row>
    <row r="995" spans="5:11" ht="12.75" x14ac:dyDescent="0.2">
      <c r="E995" s="57"/>
      <c r="K995" s="57"/>
    </row>
    <row r="996" spans="5:11" ht="12.75" x14ac:dyDescent="0.2">
      <c r="E996" s="57"/>
      <c r="K996" s="57"/>
    </row>
    <row r="997" spans="5:11" ht="12.75" x14ac:dyDescent="0.2">
      <c r="E997" s="57"/>
      <c r="K997" s="57"/>
    </row>
    <row r="998" spans="5:11" ht="12.75" x14ac:dyDescent="0.2">
      <c r="E998" s="57"/>
      <c r="K998" s="5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"/>
  <sheetViews>
    <sheetView workbookViewId="0">
      <selection activeCell="D19" sqref="D19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18</v>
      </c>
      <c r="C2" s="10">
        <v>43922.583333333336</v>
      </c>
      <c r="D2" s="12">
        <v>0.58333333333333337</v>
      </c>
      <c r="E2" s="14">
        <v>0</v>
      </c>
      <c r="F2" s="8">
        <v>207.38</v>
      </c>
      <c r="G2" s="8">
        <v>110.8</v>
      </c>
      <c r="H2" s="8">
        <v>96.58</v>
      </c>
      <c r="I2" s="8">
        <v>246</v>
      </c>
      <c r="J2" s="8">
        <v>1092.4000000000001</v>
      </c>
      <c r="K2" s="14">
        <v>1088</v>
      </c>
      <c r="L2" s="8">
        <v>22.4</v>
      </c>
      <c r="M2" s="16">
        <v>21.7</v>
      </c>
      <c r="N2" s="8">
        <v>84</v>
      </c>
      <c r="O2" s="20">
        <v>590</v>
      </c>
    </row>
    <row r="3" spans="1:15" ht="15.75" customHeight="1" x14ac:dyDescent="0.2">
      <c r="A3" s="22" t="s">
        <v>21</v>
      </c>
      <c r="B3" s="25" t="s">
        <v>23</v>
      </c>
      <c r="C3" s="27">
        <v>43923.576388888891</v>
      </c>
      <c r="D3" s="29">
        <v>0.57638888888888884</v>
      </c>
      <c r="E3" s="33">
        <f>(24-14)*60+13*60+50</f>
        <v>1430</v>
      </c>
      <c r="F3" s="25">
        <v>187.71</v>
      </c>
      <c r="G3" s="25">
        <v>95.84</v>
      </c>
      <c r="H3" s="25">
        <v>91.87</v>
      </c>
      <c r="I3" s="25">
        <v>36</v>
      </c>
      <c r="J3" s="25">
        <v>1084.2</v>
      </c>
      <c r="K3" s="33">
        <v>1082</v>
      </c>
      <c r="L3" s="25">
        <v>20.6</v>
      </c>
      <c r="M3" s="35">
        <v>25.7</v>
      </c>
      <c r="N3" s="25">
        <v>209</v>
      </c>
      <c r="O3" s="37">
        <v>803</v>
      </c>
    </row>
    <row r="4" spans="1:15" ht="15.75" customHeight="1" x14ac:dyDescent="0.2">
      <c r="A4" s="22" t="s">
        <v>27</v>
      </c>
      <c r="B4" s="25" t="s">
        <v>30</v>
      </c>
      <c r="C4" s="39">
        <v>43923.861805555556</v>
      </c>
      <c r="D4" s="29">
        <v>0.8618055555555556</v>
      </c>
      <c r="E4" s="33">
        <f>10+6*60+41+E3</f>
        <v>1841</v>
      </c>
      <c r="F4" s="25">
        <v>176.37</v>
      </c>
      <c r="G4" s="25">
        <v>79.739999999999995</v>
      </c>
      <c r="H4" s="25">
        <v>96.63</v>
      </c>
      <c r="I4" s="25">
        <v>62</v>
      </c>
      <c r="J4" s="25">
        <v>1077.9000000000001</v>
      </c>
      <c r="K4" s="33">
        <v>1078</v>
      </c>
      <c r="L4" s="25">
        <v>19.2</v>
      </c>
      <c r="M4" s="35">
        <v>26</v>
      </c>
      <c r="N4" s="25">
        <v>240</v>
      </c>
      <c r="O4" s="37">
        <v>860</v>
      </c>
    </row>
    <row r="5" spans="1:15" ht="15.75" customHeight="1" x14ac:dyDescent="0.2">
      <c r="A5" s="22" t="s">
        <v>31</v>
      </c>
      <c r="B5" s="25" t="s">
        <v>34</v>
      </c>
      <c r="C5" s="39">
        <v>43924.4375</v>
      </c>
      <c r="D5" s="29">
        <v>0.4375</v>
      </c>
      <c r="E5" s="33">
        <f>19+(24-21)*60+10*60+30+E4</f>
        <v>2670</v>
      </c>
      <c r="F5" s="42">
        <v>148.72</v>
      </c>
      <c r="G5" s="42">
        <v>62.48</v>
      </c>
      <c r="H5" s="25">
        <v>86.24</v>
      </c>
      <c r="I5" s="25">
        <v>63</v>
      </c>
      <c r="J5" s="25">
        <v>1063.9000000000001</v>
      </c>
      <c r="K5" s="33">
        <v>1065</v>
      </c>
      <c r="L5" s="25">
        <v>16</v>
      </c>
      <c r="M5" s="35">
        <v>26</v>
      </c>
      <c r="N5" s="25">
        <v>267</v>
      </c>
      <c r="O5" s="37">
        <v>978</v>
      </c>
    </row>
    <row r="6" spans="1:15" ht="15.75" customHeight="1" x14ac:dyDescent="0.2">
      <c r="A6" s="22" t="s">
        <v>35</v>
      </c>
      <c r="B6" s="25" t="s">
        <v>39</v>
      </c>
      <c r="C6" s="39">
        <v>43924.520833333336</v>
      </c>
      <c r="D6" s="29">
        <v>0.52083333333333337</v>
      </c>
      <c r="E6" s="33">
        <f t="shared" ref="E6:E7" si="0">2*60+E5</f>
        <v>2790</v>
      </c>
      <c r="F6" s="42">
        <v>140.59</v>
      </c>
      <c r="G6" s="25">
        <v>57.15</v>
      </c>
      <c r="H6" s="25">
        <v>83.45</v>
      </c>
      <c r="I6" s="25">
        <v>121</v>
      </c>
      <c r="J6" s="25">
        <v>1061.5999999999999</v>
      </c>
      <c r="K6" s="33">
        <v>1065</v>
      </c>
      <c r="L6" s="35">
        <v>15.4</v>
      </c>
      <c r="M6" s="35">
        <v>25.9</v>
      </c>
      <c r="N6" s="25">
        <v>280</v>
      </c>
      <c r="O6" s="37">
        <v>975</v>
      </c>
    </row>
    <row r="7" spans="1:15" ht="15.75" customHeight="1" x14ac:dyDescent="0.2">
      <c r="A7" s="22" t="s">
        <v>37</v>
      </c>
      <c r="B7" s="25" t="s">
        <v>43</v>
      </c>
      <c r="C7" s="39">
        <v>43924.604166666664</v>
      </c>
      <c r="D7" s="29">
        <v>0.60416666666666663</v>
      </c>
      <c r="E7" s="33">
        <f t="shared" si="0"/>
        <v>2910</v>
      </c>
      <c r="F7" s="25">
        <v>133.41999999999999</v>
      </c>
      <c r="G7" s="25">
        <v>53.8</v>
      </c>
      <c r="H7" s="25">
        <v>79.62</v>
      </c>
      <c r="I7" s="25">
        <v>100</v>
      </c>
      <c r="J7" s="35">
        <v>1057.8</v>
      </c>
      <c r="K7" s="33">
        <v>1056</v>
      </c>
      <c r="L7" s="35">
        <v>14.5</v>
      </c>
      <c r="M7" s="35">
        <v>25.9</v>
      </c>
      <c r="N7" s="25">
        <v>272</v>
      </c>
      <c r="O7" s="37">
        <v>978</v>
      </c>
    </row>
    <row r="8" spans="1:15" ht="15.75" customHeight="1" x14ac:dyDescent="0.2">
      <c r="A8" s="22" t="s">
        <v>41</v>
      </c>
      <c r="B8" s="25" t="s">
        <v>46</v>
      </c>
      <c r="C8" s="39">
        <v>43925.185416666667</v>
      </c>
      <c r="D8" s="29">
        <v>0.18541666666666667</v>
      </c>
      <c r="E8" s="33">
        <f>30+(24-15)*60+4*60+27+E7</f>
        <v>3747</v>
      </c>
      <c r="F8" s="25">
        <v>98.84</v>
      </c>
      <c r="G8" s="25">
        <v>33.22</v>
      </c>
      <c r="H8" s="42">
        <v>65.62</v>
      </c>
      <c r="I8" s="25">
        <v>65</v>
      </c>
      <c r="J8" s="35">
        <v>1040.3</v>
      </c>
      <c r="K8" s="33">
        <v>1040</v>
      </c>
      <c r="L8" s="35">
        <v>10.4</v>
      </c>
      <c r="M8" s="35">
        <v>25.9</v>
      </c>
      <c r="N8" s="25">
        <v>330</v>
      </c>
      <c r="O8" s="37">
        <v>1090</v>
      </c>
    </row>
    <row r="9" spans="1:15" ht="15.75" customHeight="1" x14ac:dyDescent="0.2">
      <c r="A9" s="22" t="s">
        <v>44</v>
      </c>
      <c r="B9" s="25" t="s">
        <v>48</v>
      </c>
      <c r="C9" s="39">
        <v>43926.111111111109</v>
      </c>
      <c r="D9" s="29">
        <v>0.1111111111111111</v>
      </c>
      <c r="E9" s="33">
        <f>33+(24-5)*60+2*60+40+E8</f>
        <v>5080</v>
      </c>
      <c r="F9" s="25">
        <v>56.37</v>
      </c>
      <c r="G9" s="25">
        <v>13.5</v>
      </c>
      <c r="H9" s="42">
        <v>42.87</v>
      </c>
      <c r="I9" s="25">
        <v>72</v>
      </c>
      <c r="J9" s="35">
        <v>1020</v>
      </c>
      <c r="K9" s="33">
        <v>1020</v>
      </c>
      <c r="L9" s="35">
        <v>5.4</v>
      </c>
      <c r="M9" s="35">
        <v>26</v>
      </c>
      <c r="N9" s="25">
        <v>410</v>
      </c>
      <c r="O9" s="37">
        <v>1182</v>
      </c>
    </row>
    <row r="10" spans="1:15" ht="15.75" customHeight="1" x14ac:dyDescent="0.2">
      <c r="A10" s="45" t="s">
        <v>52</v>
      </c>
      <c r="B10" s="44" t="s">
        <v>54</v>
      </c>
      <c r="C10" s="46">
        <v>43927.375</v>
      </c>
      <c r="D10" s="47">
        <v>0.375</v>
      </c>
      <c r="E10" s="49">
        <f>20+(24-3)*60+9*60+E9</f>
        <v>6900</v>
      </c>
      <c r="F10" s="44">
        <v>9.35</v>
      </c>
      <c r="G10" s="44">
        <v>1.96</v>
      </c>
      <c r="H10" s="52">
        <v>7.38</v>
      </c>
      <c r="I10" s="44">
        <v>26</v>
      </c>
      <c r="J10" s="44">
        <v>997.9</v>
      </c>
      <c r="K10" s="49">
        <v>998</v>
      </c>
      <c r="L10" s="44">
        <v>-0.2</v>
      </c>
      <c r="M10" s="54">
        <v>25.9</v>
      </c>
      <c r="N10" s="44">
        <v>442</v>
      </c>
      <c r="O10" s="56">
        <v>1247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"/>
  <sheetViews>
    <sheetView workbookViewId="0">
      <selection activeCell="E2" sqref="E2:E1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1" width="16.7109375" customWidth="1"/>
    <col min="12" max="13" width="16.28515625" customWidth="1"/>
    <col min="14" max="14" width="19.140625" customWidth="1"/>
    <col min="15" max="15" width="17.425781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14</v>
      </c>
      <c r="O1" s="1" t="s">
        <v>15</v>
      </c>
    </row>
    <row r="2" spans="1:15" ht="15.75" customHeight="1" x14ac:dyDescent="0.2">
      <c r="A2" s="6" t="s">
        <v>16</v>
      </c>
      <c r="B2" s="8" t="s">
        <v>56</v>
      </c>
      <c r="C2" s="10">
        <v>43929.645833333336</v>
      </c>
      <c r="D2" s="12">
        <v>0.64583333333333337</v>
      </c>
      <c r="E2" s="8">
        <v>0</v>
      </c>
      <c r="F2" s="8">
        <v>211.84</v>
      </c>
      <c r="G2" s="8">
        <v>110.91</v>
      </c>
      <c r="H2" s="8">
        <v>100.93</v>
      </c>
      <c r="I2" s="8">
        <v>232</v>
      </c>
      <c r="J2" s="8">
        <v>1091.8</v>
      </c>
      <c r="K2" s="8">
        <v>1092</v>
      </c>
      <c r="L2" s="8">
        <v>22.1</v>
      </c>
      <c r="M2" s="16">
        <v>22.3</v>
      </c>
      <c r="N2" s="8">
        <v>86</v>
      </c>
      <c r="O2" s="20">
        <v>518</v>
      </c>
    </row>
    <row r="3" spans="1:15" ht="15.75" customHeight="1" x14ac:dyDescent="0.2">
      <c r="A3" s="22" t="s">
        <v>21</v>
      </c>
      <c r="B3" s="25" t="s">
        <v>57</v>
      </c>
      <c r="C3" s="27">
        <v>43930.347222222219</v>
      </c>
      <c r="D3" s="29">
        <v>0.34722222222222221</v>
      </c>
      <c r="E3" s="25">
        <f>30+(24-16)*60+8*60+20</f>
        <v>1010</v>
      </c>
      <c r="F3" s="25">
        <v>193.78</v>
      </c>
      <c r="G3" s="25">
        <v>94.43</v>
      </c>
      <c r="H3" s="25">
        <v>99.35</v>
      </c>
      <c r="I3" s="25">
        <v>117</v>
      </c>
      <c r="J3" s="25">
        <v>1086.7</v>
      </c>
      <c r="K3" s="25">
        <v>1087</v>
      </c>
      <c r="L3" s="25">
        <v>21</v>
      </c>
      <c r="M3" s="35">
        <v>24.7</v>
      </c>
      <c r="N3" s="25">
        <v>130</v>
      </c>
      <c r="O3" s="37">
        <v>606</v>
      </c>
    </row>
    <row r="4" spans="1:15" ht="15.75" customHeight="1" x14ac:dyDescent="0.2">
      <c r="A4" s="22" t="s">
        <v>27</v>
      </c>
      <c r="B4" s="25" t="s">
        <v>58</v>
      </c>
      <c r="C4" s="39">
        <v>43930.79791666667</v>
      </c>
      <c r="D4" s="29">
        <v>0.79791666666666672</v>
      </c>
      <c r="E4" s="25">
        <f>40+10*60+9+E3</f>
        <v>1659</v>
      </c>
      <c r="F4" s="25">
        <v>174.37</v>
      </c>
      <c r="G4" s="25">
        <v>80.290000000000006</v>
      </c>
      <c r="H4" s="25">
        <v>94.07</v>
      </c>
      <c r="I4" s="25">
        <v>67</v>
      </c>
      <c r="J4" s="25">
        <v>1079</v>
      </c>
      <c r="K4" s="25">
        <v>1076</v>
      </c>
      <c r="L4" s="25">
        <v>19.3</v>
      </c>
      <c r="M4" s="35">
        <v>26.2</v>
      </c>
      <c r="N4" s="25">
        <v>181</v>
      </c>
      <c r="O4" s="37">
        <v>709</v>
      </c>
    </row>
    <row r="5" spans="1:15" ht="15.75" customHeight="1" x14ac:dyDescent="0.2">
      <c r="A5" s="22" t="s">
        <v>31</v>
      </c>
      <c r="B5" s="70" t="s">
        <v>59</v>
      </c>
      <c r="C5" s="71">
        <v>43931.423611111109</v>
      </c>
      <c r="D5" s="72">
        <v>0.4236111111111111</v>
      </c>
      <c r="E5" s="73">
        <f>51+(24-20)*60+10*60+10+E4</f>
        <v>2560</v>
      </c>
      <c r="F5" s="73">
        <v>141.63999999999999</v>
      </c>
      <c r="G5" s="73">
        <v>57.85</v>
      </c>
      <c r="H5" s="70">
        <v>83.79</v>
      </c>
      <c r="I5" s="76">
        <v>65</v>
      </c>
      <c r="J5" s="70">
        <v>1063.4000000000001</v>
      </c>
      <c r="K5" s="70">
        <v>1064</v>
      </c>
      <c r="L5" s="70">
        <v>15.7</v>
      </c>
      <c r="M5" s="74">
        <v>25.9</v>
      </c>
      <c r="N5" s="70">
        <v>239</v>
      </c>
      <c r="O5" s="75">
        <v>829</v>
      </c>
    </row>
    <row r="6" spans="1:15" ht="15.75" customHeight="1" x14ac:dyDescent="0.2">
      <c r="A6" s="22" t="s">
        <v>35</v>
      </c>
      <c r="B6" s="25" t="s">
        <v>60</v>
      </c>
      <c r="C6" s="39">
        <v>43931.506944444445</v>
      </c>
      <c r="D6" s="29">
        <v>0.50694444444444442</v>
      </c>
      <c r="E6" s="42">
        <f>E5+2*60</f>
        <v>2680</v>
      </c>
      <c r="F6" s="42">
        <v>144.69999999999999</v>
      </c>
      <c r="G6" s="25">
        <v>58.92</v>
      </c>
      <c r="H6" s="77">
        <v>85.77</v>
      </c>
      <c r="I6" s="80">
        <v>191</v>
      </c>
      <c r="J6" s="78">
        <v>1060.0999999999999</v>
      </c>
      <c r="K6" s="35">
        <v>1064</v>
      </c>
      <c r="L6" s="35">
        <v>15</v>
      </c>
      <c r="M6" s="35">
        <v>25.9</v>
      </c>
      <c r="N6" s="25">
        <v>234</v>
      </c>
      <c r="O6" s="37">
        <v>835</v>
      </c>
    </row>
    <row r="7" spans="1:15" ht="15.75" customHeight="1" x14ac:dyDescent="0.2">
      <c r="A7" s="22" t="s">
        <v>37</v>
      </c>
      <c r="B7" s="25" t="s">
        <v>61</v>
      </c>
      <c r="C7" s="39">
        <v>43931.763888888891</v>
      </c>
      <c r="D7" s="29">
        <v>0.76388888888888884</v>
      </c>
      <c r="E7" s="42">
        <f>10+6*60+E6</f>
        <v>3050</v>
      </c>
      <c r="F7" s="25">
        <v>121.01</v>
      </c>
      <c r="G7" s="25">
        <v>44.35</v>
      </c>
      <c r="H7" s="25">
        <v>76.67</v>
      </c>
      <c r="I7" s="79">
        <v>123</v>
      </c>
      <c r="J7" s="35">
        <v>1048.9000000000001</v>
      </c>
      <c r="K7" s="35">
        <v>1053</v>
      </c>
      <c r="L7" s="35">
        <v>12.3</v>
      </c>
      <c r="M7" s="35">
        <v>26</v>
      </c>
      <c r="N7" s="25">
        <v>237</v>
      </c>
      <c r="O7" s="37">
        <v>848</v>
      </c>
    </row>
    <row r="8" spans="1:15" ht="15.75" customHeight="1" x14ac:dyDescent="0.2">
      <c r="A8" s="22" t="s">
        <v>41</v>
      </c>
      <c r="B8" s="25" t="s">
        <v>62</v>
      </c>
      <c r="C8" s="39">
        <v>43932.059027777781</v>
      </c>
      <c r="D8" s="29">
        <v>5.9027777777777776E-2</v>
      </c>
      <c r="E8" s="42">
        <f>40+(24-19)*60+1*60+25+E7</f>
        <v>3475</v>
      </c>
      <c r="F8" s="25">
        <v>99.03</v>
      </c>
      <c r="G8" s="25">
        <v>33.479999999999997</v>
      </c>
      <c r="H8" s="42">
        <v>65.55</v>
      </c>
      <c r="I8" s="25">
        <v>65</v>
      </c>
      <c r="J8" s="35">
        <v>1041.2</v>
      </c>
      <c r="K8" s="35">
        <v>1040</v>
      </c>
      <c r="L8" s="35">
        <v>10.5</v>
      </c>
      <c r="M8" s="35">
        <v>25.9</v>
      </c>
      <c r="N8" s="25">
        <v>271</v>
      </c>
      <c r="O8" s="37">
        <v>920</v>
      </c>
    </row>
    <row r="9" spans="1:15" ht="15.75" customHeight="1" x14ac:dyDescent="0.2">
      <c r="A9" s="22" t="s">
        <v>44</v>
      </c>
      <c r="B9" s="25" t="s">
        <v>63</v>
      </c>
      <c r="C9" s="39">
        <v>43932.663194444445</v>
      </c>
      <c r="D9" s="29">
        <v>0.66319444444444442</v>
      </c>
      <c r="E9" s="42">
        <f>35+13*60+55+E8</f>
        <v>4345</v>
      </c>
      <c r="F9" s="25">
        <v>72.28</v>
      </c>
      <c r="G9" s="25">
        <v>20.29</v>
      </c>
      <c r="H9" s="42">
        <v>51.98</v>
      </c>
      <c r="I9" s="25">
        <v>66</v>
      </c>
      <c r="J9" s="35">
        <v>1025.0999999999999</v>
      </c>
      <c r="K9" s="35">
        <v>1025</v>
      </c>
      <c r="L9" s="35">
        <v>6.6</v>
      </c>
      <c r="M9" s="35">
        <v>25.9</v>
      </c>
      <c r="N9" s="25">
        <v>299</v>
      </c>
      <c r="O9" s="37">
        <v>989</v>
      </c>
    </row>
    <row r="10" spans="1:15" ht="15.75" customHeight="1" x14ac:dyDescent="0.2">
      <c r="A10" s="50" t="s">
        <v>49</v>
      </c>
      <c r="B10" s="51" t="s">
        <v>64</v>
      </c>
      <c r="C10" s="53">
        <v>43934.604166666664</v>
      </c>
      <c r="D10" s="55">
        <v>0.60416666666666663</v>
      </c>
      <c r="E10" s="59">
        <f>5+(24-16)*60+24*60+14*60+30+E9</f>
        <v>7140</v>
      </c>
      <c r="F10" s="51">
        <v>8.48</v>
      </c>
      <c r="G10" s="51">
        <v>0.11</v>
      </c>
      <c r="H10" s="59">
        <v>8.3699999999999992</v>
      </c>
      <c r="I10" s="51">
        <v>65</v>
      </c>
      <c r="J10" s="51">
        <v>996.1</v>
      </c>
      <c r="K10" s="51">
        <v>998</v>
      </c>
      <c r="L10" s="51">
        <v>-0.7</v>
      </c>
      <c r="M10" s="60">
        <v>21.4</v>
      </c>
      <c r="N10" s="51">
        <v>435</v>
      </c>
      <c r="O10" s="61">
        <v>1182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964-BF8F-4F70-9D53-1061210758E4}">
  <sheetPr>
    <outlinePr summaryBelow="0" summaryRight="0"/>
  </sheetPr>
  <dimension ref="A1:N8"/>
  <sheetViews>
    <sheetView tabSelected="1" workbookViewId="0">
      <selection activeCell="I20" sqref="I20"/>
    </sheetView>
  </sheetViews>
  <sheetFormatPr baseColWidth="10" defaultColWidth="14.42578125" defaultRowHeight="15.75" customHeight="1" x14ac:dyDescent="0.2"/>
  <cols>
    <col min="1" max="1" width="18.42578125" customWidth="1"/>
    <col min="3" max="3" width="11.42578125" customWidth="1"/>
    <col min="4" max="4" width="10.7109375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</cols>
  <sheetData>
    <row r="1" spans="1:14" ht="15.7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</row>
    <row r="2" spans="1:14" ht="15.75" customHeight="1" x14ac:dyDescent="0.2">
      <c r="A2" s="81" t="s">
        <v>16</v>
      </c>
      <c r="B2" s="82" t="s">
        <v>76</v>
      </c>
      <c r="C2" s="83">
        <v>43969.708333333336</v>
      </c>
      <c r="D2" s="84">
        <v>0.70833333333333337</v>
      </c>
      <c r="E2" s="96">
        <v>0</v>
      </c>
      <c r="F2" s="82">
        <v>213.75</v>
      </c>
      <c r="G2" s="82">
        <v>107.61</v>
      </c>
      <c r="H2" s="82">
        <v>106.14</v>
      </c>
      <c r="I2" s="82">
        <v>294</v>
      </c>
      <c r="J2" s="101">
        <v>1097</v>
      </c>
      <c r="K2" s="82" t="s">
        <v>83</v>
      </c>
      <c r="L2" s="82" t="s">
        <v>83</v>
      </c>
    </row>
    <row r="3" spans="1:14" ht="15.75" customHeight="1" x14ac:dyDescent="0.2">
      <c r="A3" s="85" t="s">
        <v>21</v>
      </c>
      <c r="B3" s="86" t="s">
        <v>77</v>
      </c>
      <c r="C3" s="87">
        <v>43970.625</v>
      </c>
      <c r="D3" s="88">
        <v>0.625</v>
      </c>
      <c r="E3" s="97">
        <f>(24-17)*60+E2</f>
        <v>420</v>
      </c>
      <c r="F3" s="86">
        <v>194.82</v>
      </c>
      <c r="G3" s="86">
        <v>92.08</v>
      </c>
      <c r="H3" s="86">
        <v>102.74</v>
      </c>
      <c r="I3" s="86">
        <v>112</v>
      </c>
      <c r="J3" s="86">
        <v>1087.7</v>
      </c>
      <c r="K3" s="86">
        <v>21.3</v>
      </c>
      <c r="L3" s="89">
        <v>17.2</v>
      </c>
    </row>
    <row r="4" spans="1:14" ht="15.75" customHeight="1" x14ac:dyDescent="0.2">
      <c r="A4" s="85" t="s">
        <v>27</v>
      </c>
      <c r="B4" s="86" t="s">
        <v>78</v>
      </c>
      <c r="C4" s="87">
        <v>43971.388888888891</v>
      </c>
      <c r="D4" s="88">
        <v>0.3888888888888889</v>
      </c>
      <c r="E4" s="97">
        <f>(24-15)*60+9*60+20+E3</f>
        <v>1520</v>
      </c>
      <c r="F4" s="86">
        <v>156.54</v>
      </c>
      <c r="G4" s="86">
        <v>64.27</v>
      </c>
      <c r="H4" s="86">
        <v>92.27</v>
      </c>
      <c r="I4" s="86">
        <v>67</v>
      </c>
      <c r="J4" s="86">
        <v>1067.5999999999999</v>
      </c>
      <c r="K4" s="86">
        <v>16.600000000000001</v>
      </c>
      <c r="L4" s="89">
        <v>14.9</v>
      </c>
      <c r="N4" s="102"/>
    </row>
    <row r="5" spans="1:14" ht="15.75" customHeight="1" x14ac:dyDescent="0.2">
      <c r="A5" s="85" t="s">
        <v>31</v>
      </c>
      <c r="B5" s="86" t="s">
        <v>79</v>
      </c>
      <c r="C5" s="90">
        <v>43971.666666666664</v>
      </c>
      <c r="D5" s="88">
        <v>0.66666666666666663</v>
      </c>
      <c r="E5" s="98">
        <f>40+6*60+E4</f>
        <v>1920</v>
      </c>
      <c r="F5" s="86">
        <v>135.72</v>
      </c>
      <c r="G5" s="86">
        <v>54.02</v>
      </c>
      <c r="H5" s="86">
        <v>81.69</v>
      </c>
      <c r="I5" s="86">
        <v>109</v>
      </c>
      <c r="J5" s="86">
        <v>1058.5</v>
      </c>
      <c r="K5" s="86">
        <v>15</v>
      </c>
      <c r="L5" s="89">
        <v>22.4</v>
      </c>
    </row>
    <row r="6" spans="1:14" ht="15.75" customHeight="1" x14ac:dyDescent="0.2">
      <c r="A6" s="85" t="s">
        <v>35</v>
      </c>
      <c r="B6" s="86" t="s">
        <v>80</v>
      </c>
      <c r="C6" s="87">
        <v>43972.652777777781</v>
      </c>
      <c r="D6" s="88">
        <v>0.65277777777777779</v>
      </c>
      <c r="E6" s="97">
        <f>(24-16)*60+15*60+40+E5</f>
        <v>3340</v>
      </c>
      <c r="F6" s="86">
        <v>74.88</v>
      </c>
      <c r="G6" s="86">
        <v>26.87</v>
      </c>
      <c r="H6" s="86">
        <v>48.02</v>
      </c>
      <c r="I6" s="86">
        <v>68</v>
      </c>
      <c r="J6" s="86">
        <v>1028.2</v>
      </c>
      <c r="K6" s="86">
        <v>7.3</v>
      </c>
      <c r="L6" s="89">
        <v>15</v>
      </c>
    </row>
    <row r="7" spans="1:14" ht="15.75" customHeight="1" x14ac:dyDescent="0.2">
      <c r="A7" s="85" t="s">
        <v>37</v>
      </c>
      <c r="B7" s="86" t="s">
        <v>81</v>
      </c>
      <c r="C7" s="87">
        <v>43973.503472222219</v>
      </c>
      <c r="D7" s="88">
        <v>0.50347222222222221</v>
      </c>
      <c r="E7" s="97">
        <f>20+(24-16)*60+12*60+5+E6</f>
        <v>4565</v>
      </c>
      <c r="F7" s="86">
        <v>32.99</v>
      </c>
      <c r="G7" s="86">
        <v>6.39</v>
      </c>
      <c r="H7" s="86">
        <v>26.59</v>
      </c>
      <c r="I7" s="86">
        <v>72</v>
      </c>
      <c r="J7" s="86">
        <v>1009.2</v>
      </c>
      <c r="K7" s="86">
        <v>2.8</v>
      </c>
      <c r="L7" s="89">
        <v>21.8</v>
      </c>
    </row>
    <row r="8" spans="1:14" ht="15.75" customHeight="1" thickBot="1" x14ac:dyDescent="0.25">
      <c r="A8" s="91" t="s">
        <v>41</v>
      </c>
      <c r="B8" s="92" t="s">
        <v>82</v>
      </c>
      <c r="C8" s="93">
        <v>43974.666666666664</v>
      </c>
      <c r="D8" s="94">
        <v>0.58333333333333337</v>
      </c>
      <c r="E8" s="99">
        <f>(24-12)*60+14*60+E7-5</f>
        <v>6120</v>
      </c>
      <c r="F8" s="92">
        <v>30.23</v>
      </c>
      <c r="G8" s="92">
        <v>5.47</v>
      </c>
      <c r="H8" s="92">
        <v>24.76</v>
      </c>
      <c r="I8" s="92">
        <v>67</v>
      </c>
      <c r="J8" s="92">
        <v>1007.4</v>
      </c>
      <c r="K8" s="92">
        <v>2.2999999999999998</v>
      </c>
      <c r="L8" s="95">
        <v>19.399999999999999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PIL-CALIB(01)</vt:lpstr>
      <vt:lpstr>PIL-CALIB(02)</vt:lpstr>
      <vt:lpstr>PIL-CALIB(03)</vt:lpstr>
      <vt:lpstr>PIL-CALIB(04)</vt:lpstr>
      <vt:lpstr>PIL-VALID(01)</vt:lpstr>
      <vt:lpstr>PIL-VALID(02)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2021-09-04T07:15:12Z</dcterms:modified>
</cp:coreProperties>
</file>