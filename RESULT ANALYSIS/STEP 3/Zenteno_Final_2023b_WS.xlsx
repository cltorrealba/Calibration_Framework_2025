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ister- Escritorio\MATLAB\Tesis 2020\Zenteno Files\Cross_Validation_Calibration\CI_Calculation\Opcion B\2023_CrossValidation\Step 3 - MonteCarlo &amp; MCDM structure selection\Workstation\"/>
    </mc:Choice>
  </mc:AlternateContent>
  <xr:revisionPtr revIDLastSave="0" documentId="13_ncr:1_{BAA1FA7F-EB26-43FF-94C8-85C124A594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Sheet1!$B$1:$L$4131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2" i="1"/>
</calcChain>
</file>

<file path=xl/sharedStrings.xml><?xml version="1.0" encoding="utf-8"?>
<sst xmlns="http://schemas.openxmlformats.org/spreadsheetml/2006/main" count="10" uniqueCount="10">
  <si>
    <t>FFF</t>
  </si>
  <si>
    <t>AICc</t>
  </si>
  <si>
    <t>MNCI</t>
  </si>
  <si>
    <t>Sens_X</t>
  </si>
  <si>
    <t>Sens_N</t>
  </si>
  <si>
    <t>Sens_G</t>
  </si>
  <si>
    <t>Sens_F</t>
  </si>
  <si>
    <t>Sens_E</t>
  </si>
  <si>
    <t>GSS</t>
  </si>
  <si>
    <t>RSQ2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</si>
</sst>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5"/>
  <sheetViews>
    <sheetView tabSelected="1" workbookViewId="0">
      <selection activeCell="M15" sqref="M15"/>
    </sheetView>
  </sheetViews>
  <sheetFormatPr defaultColWidth="9.140625" defaultRowHeight="15"/>
  <cols>
    <col min="1" max="1" width="5" style="1" bestFit="1" customWidth="1"/>
    <col min="2" max="2" width="12.7109375" style="1" bestFit="1" customWidth="1"/>
    <col min="3" max="3" width="12" style="1" bestFit="1" customWidth="1"/>
    <col min="4" max="5" width="12" style="1" customWidth="1"/>
    <col min="6" max="10" width="12" style="1" bestFit="1" customWidth="1"/>
    <col min="11" max="11" width="4.7109375" style="1" customWidth="1"/>
    <col min="12" max="12" width="12.5703125" style="1" customWidth="1"/>
    <col min="13" max="16384" width="9.140625" style="1"/>
  </cols>
  <sheetData>
    <row r="1" spans="1:10">
      <c r="A1" s="2" t="s">
        <v>0</v>
      </c>
      <c r="B1" s="2" t="s">
        <v>1</v>
      </c>
      <c r="C1" s="2" t="s">
        <v>2</v>
      </c>
      <c r="D1" s="2" t="s">
        <v>9</v>
      </c>
      <c r="E1" s="2" t="s">
        <v>8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</row>
    <row r="2" spans="1:10">
      <c r="A2" s="1">
        <v>1</v>
      </c>
      <c r="B2" s="1">
        <v>269.71762346331798</v>
      </c>
      <c r="C2" s="1">
        <v>0.18251453072753801</v>
      </c>
      <c r="D2" s="1">
        <v>0.75988557478510899</v>
      </c>
      <c r="E2" s="1">
        <f>SUM(F2:J2)</f>
        <v>61.169520870777617</v>
      </c>
      <c r="F2" s="1">
        <v>11.295475168513001</v>
      </c>
      <c r="G2" s="1">
        <v>3.07890957138927</v>
      </c>
      <c r="H2" s="1">
        <v>18.614703436829799</v>
      </c>
      <c r="I2" s="1">
        <v>18.5303582060079</v>
      </c>
      <c r="J2" s="1">
        <v>9.6500744880376494</v>
      </c>
    </row>
    <row r="3" spans="1:10">
      <c r="A3" s="1">
        <v>320</v>
      </c>
      <c r="B3" s="1">
        <v>233.681085749098</v>
      </c>
      <c r="C3" s="1">
        <v>0.115248825146677</v>
      </c>
      <c r="D3" s="1">
        <v>0.83384365039363395</v>
      </c>
      <c r="E3" s="1">
        <f t="shared" ref="E3:E66" si="0">SUM(F3:J3)</f>
        <v>62.000391791383429</v>
      </c>
      <c r="F3" s="1">
        <v>14.440791478690601</v>
      </c>
      <c r="G3" s="1">
        <v>2.3197934402029001</v>
      </c>
      <c r="H3" s="1">
        <v>17.989444368924101</v>
      </c>
      <c r="I3" s="1">
        <v>17.4793909350986</v>
      </c>
      <c r="J3" s="1">
        <v>9.77097156846723</v>
      </c>
    </row>
    <row r="4" spans="1:10">
      <c r="A4" s="1">
        <v>1021</v>
      </c>
      <c r="B4" s="1">
        <v>235.325385980443</v>
      </c>
      <c r="C4" s="1">
        <v>0.14944252698770499</v>
      </c>
      <c r="D4" s="1">
        <v>0.836782785506059</v>
      </c>
      <c r="E4" s="1">
        <f t="shared" si="0"/>
        <v>52.43830670911376</v>
      </c>
      <c r="F4" s="1">
        <v>6.1641141583887196</v>
      </c>
      <c r="G4" s="1">
        <v>3.12899817022674</v>
      </c>
      <c r="H4" s="1">
        <v>11.5753623852342</v>
      </c>
      <c r="I4" s="1">
        <v>21.160833255202199</v>
      </c>
      <c r="J4" s="1">
        <v>10.4089987400619</v>
      </c>
    </row>
    <row r="5" spans="1:10">
      <c r="A5" s="1">
        <v>1024</v>
      </c>
      <c r="B5" s="1">
        <v>241.252957906652</v>
      </c>
      <c r="C5" s="1">
        <v>0.14040305695270799</v>
      </c>
      <c r="D5" s="1">
        <v>0.79030677757289203</v>
      </c>
      <c r="E5" s="1">
        <f t="shared" si="0"/>
        <v>69.723017474877253</v>
      </c>
      <c r="F5" s="1">
        <v>17.989333881909101</v>
      </c>
      <c r="G5" s="1">
        <v>5.1678693371536504</v>
      </c>
      <c r="H5" s="1">
        <v>15.190712206398601</v>
      </c>
      <c r="I5" s="1">
        <v>20.018320482358899</v>
      </c>
      <c r="J5" s="1">
        <v>11.356781567057</v>
      </c>
    </row>
    <row r="6" spans="1:10">
      <c r="A6" s="1">
        <v>1025</v>
      </c>
      <c r="B6" s="1">
        <v>238.30664670731801</v>
      </c>
      <c r="C6" s="1">
        <v>0.169608932776494</v>
      </c>
      <c r="D6" s="1">
        <v>0.82145631494927496</v>
      </c>
      <c r="E6" s="1">
        <f t="shared" si="0"/>
        <v>57.681823328631772</v>
      </c>
      <c r="F6" s="1">
        <v>7.0972499411835104</v>
      </c>
      <c r="G6" s="1">
        <v>2.9136795266990601</v>
      </c>
      <c r="H6" s="1">
        <v>13.3307280796</v>
      </c>
      <c r="I6" s="1">
        <v>21.9900611363046</v>
      </c>
      <c r="J6" s="1">
        <v>12.350104644844601</v>
      </c>
    </row>
    <row r="7" spans="1:10">
      <c r="A7" s="1">
        <v>1030</v>
      </c>
      <c r="B7" s="1">
        <v>238.786102701186</v>
      </c>
      <c r="C7" s="1">
        <v>0.13504069790033901</v>
      </c>
      <c r="D7" s="1">
        <v>0.79715064755399301</v>
      </c>
      <c r="E7" s="1">
        <f t="shared" si="0"/>
        <v>64.289334053871144</v>
      </c>
      <c r="F7" s="1">
        <v>18.471430067212399</v>
      </c>
      <c r="G7" s="1">
        <v>4.2799952614557499</v>
      </c>
      <c r="H7" s="1">
        <v>15.908654728596501</v>
      </c>
      <c r="I7" s="1">
        <v>14.1234762717683</v>
      </c>
      <c r="J7" s="1">
        <v>11.5057777248382</v>
      </c>
    </row>
    <row r="8" spans="1:10">
      <c r="A8" s="1">
        <v>1031</v>
      </c>
      <c r="B8" s="1">
        <v>243.75558291202199</v>
      </c>
      <c r="C8" s="1">
        <v>0.31312958726393098</v>
      </c>
      <c r="D8" s="1">
        <v>0.786218703277901</v>
      </c>
      <c r="E8" s="1">
        <f t="shared" si="0"/>
        <v>54.926664398541689</v>
      </c>
      <c r="F8" s="1">
        <v>16.543795352898201</v>
      </c>
      <c r="G8" s="1">
        <v>1.77891921396458</v>
      </c>
      <c r="H8" s="1">
        <v>17.541830520778401</v>
      </c>
      <c r="I8" s="1">
        <v>8.3134170576852107</v>
      </c>
      <c r="J8" s="1">
        <v>10.748702253215299</v>
      </c>
    </row>
    <row r="9" spans="1:10">
      <c r="A9" s="1">
        <v>1032</v>
      </c>
      <c r="B9" s="1">
        <v>227.88200636380699</v>
      </c>
      <c r="C9" s="1">
        <v>9.4311383332136706E-2</v>
      </c>
      <c r="D9" s="1">
        <v>0.88357151390341104</v>
      </c>
      <c r="E9" s="1">
        <f t="shared" si="0"/>
        <v>54.679578961121905</v>
      </c>
      <c r="F9" s="1">
        <v>6.1974789262814003</v>
      </c>
      <c r="G9" s="1">
        <v>1.5220094550064101</v>
      </c>
      <c r="H9" s="1">
        <v>11.676927774853599</v>
      </c>
      <c r="I9" s="1">
        <v>21.028457966753098</v>
      </c>
      <c r="J9" s="1">
        <v>14.254704838227401</v>
      </c>
    </row>
    <row r="10" spans="1:10">
      <c r="A10" s="1">
        <v>1033</v>
      </c>
      <c r="B10" s="1">
        <v>245.195373011914</v>
      </c>
      <c r="C10" s="1">
        <v>0.16269499779116001</v>
      </c>
      <c r="D10" s="1">
        <v>0.80428503932065798</v>
      </c>
      <c r="E10" s="1">
        <f t="shared" si="0"/>
        <v>54.820764971834016</v>
      </c>
      <c r="F10" s="1">
        <v>5.9919757092365904</v>
      </c>
      <c r="G10" s="1">
        <v>2.4969150175334298</v>
      </c>
      <c r="H10" s="1">
        <v>13.7998971361092</v>
      </c>
      <c r="I10" s="1">
        <v>20.3373123619673</v>
      </c>
      <c r="J10" s="1">
        <v>12.194664746987501</v>
      </c>
    </row>
    <row r="11" spans="1:10">
      <c r="A11" s="1">
        <v>1099</v>
      </c>
      <c r="B11" s="1">
        <v>239.81108881989101</v>
      </c>
      <c r="C11" s="1">
        <v>0.13298417905051599</v>
      </c>
      <c r="D11" s="1">
        <v>0.80216606943776902</v>
      </c>
      <c r="E11" s="1">
        <f t="shared" si="0"/>
        <v>71.319937056355869</v>
      </c>
      <c r="F11" s="1">
        <v>19.6739624052708</v>
      </c>
      <c r="G11" s="1">
        <v>5.1059804590864699</v>
      </c>
      <c r="H11" s="1">
        <v>16.737659573489701</v>
      </c>
      <c r="I11" s="1">
        <v>17.749897880695599</v>
      </c>
      <c r="J11" s="1">
        <v>12.0524367378133</v>
      </c>
    </row>
    <row r="12" spans="1:10">
      <c r="A12" s="1">
        <v>1142</v>
      </c>
      <c r="B12" s="1">
        <v>246.64436696926501</v>
      </c>
      <c r="C12" s="1">
        <v>0.18831946639651001</v>
      </c>
      <c r="D12" s="1">
        <v>0.76890101699782998</v>
      </c>
      <c r="E12" s="1">
        <f t="shared" si="0"/>
        <v>85.715087861092783</v>
      </c>
      <c r="F12" s="1">
        <v>20.319554036397601</v>
      </c>
      <c r="G12" s="1">
        <v>4.3649954559380797</v>
      </c>
      <c r="H12" s="1">
        <v>23.2716393539724</v>
      </c>
      <c r="I12" s="1">
        <v>24.638723351788201</v>
      </c>
      <c r="J12" s="1">
        <v>13.1201756629965</v>
      </c>
    </row>
    <row r="13" spans="1:10">
      <c r="A13" s="1">
        <v>1143</v>
      </c>
      <c r="B13" s="1">
        <v>243.748571966127</v>
      </c>
      <c r="C13" s="1">
        <v>0.17573393098089801</v>
      </c>
      <c r="D13" s="1">
        <v>0.79313651941062502</v>
      </c>
      <c r="E13" s="1">
        <f t="shared" si="0"/>
        <v>68.995239583736264</v>
      </c>
      <c r="F13" s="1">
        <v>13.204661990084</v>
      </c>
      <c r="G13" s="1">
        <v>2.5891025876706601</v>
      </c>
      <c r="H13" s="1">
        <v>16.672155282496501</v>
      </c>
      <c r="I13" s="1">
        <v>23.341290927687499</v>
      </c>
      <c r="J13" s="1">
        <v>13.188028795797599</v>
      </c>
    </row>
    <row r="14" spans="1:10">
      <c r="A14" s="1">
        <v>1145</v>
      </c>
      <c r="B14" s="1">
        <v>251.84874899210999</v>
      </c>
      <c r="C14" s="1">
        <v>0.19599949340402101</v>
      </c>
      <c r="D14" s="1">
        <v>0.73835499985824604</v>
      </c>
      <c r="E14" s="1">
        <f t="shared" si="0"/>
        <v>63.560763553897701</v>
      </c>
      <c r="F14" s="1">
        <v>17.8202107068213</v>
      </c>
      <c r="G14" s="1">
        <v>2.4517839999525002</v>
      </c>
      <c r="H14" s="1">
        <v>17.0242229468722</v>
      </c>
      <c r="I14" s="1">
        <v>14.2469576661786</v>
      </c>
      <c r="J14" s="1">
        <v>12.0175882340731</v>
      </c>
    </row>
    <row r="15" spans="1:10">
      <c r="A15" s="1">
        <v>1148</v>
      </c>
      <c r="B15" s="1">
        <v>242.34763377914399</v>
      </c>
      <c r="C15" s="1">
        <v>0.162583137905736</v>
      </c>
      <c r="D15" s="1">
        <v>0.78010876345750502</v>
      </c>
      <c r="E15" s="1">
        <f t="shared" si="0"/>
        <v>71.711841084408732</v>
      </c>
      <c r="F15" s="1">
        <v>17.585464756249099</v>
      </c>
      <c r="G15" s="1">
        <v>4.5927839698286297</v>
      </c>
      <c r="H15" s="1">
        <v>17.558218252726899</v>
      </c>
      <c r="I15" s="1">
        <v>21.30637875643</v>
      </c>
      <c r="J15" s="1">
        <v>10.6689953491741</v>
      </c>
    </row>
    <row r="16" spans="1:10">
      <c r="A16" s="1">
        <v>1173</v>
      </c>
      <c r="B16" s="1">
        <v>231.83268837487401</v>
      </c>
      <c r="C16" s="1">
        <v>0.148044818406494</v>
      </c>
      <c r="D16" s="1">
        <v>0.84519234517660902</v>
      </c>
      <c r="E16" s="1">
        <f t="shared" si="0"/>
        <v>48.817631790000817</v>
      </c>
      <c r="F16" s="1">
        <v>6.6710346759983796</v>
      </c>
      <c r="G16" s="1">
        <v>2.4582241355440599</v>
      </c>
      <c r="H16" s="1">
        <v>5.7831067709558797</v>
      </c>
      <c r="I16" s="1">
        <v>21.4063722539337</v>
      </c>
      <c r="J16" s="1">
        <v>12.4988939535688</v>
      </c>
    </row>
    <row r="17" spans="1:10">
      <c r="A17" s="1">
        <v>1215</v>
      </c>
      <c r="B17" s="1">
        <v>241.710730195716</v>
      </c>
      <c r="C17" s="1">
        <v>0.16377521696359901</v>
      </c>
      <c r="D17" s="1">
        <v>0.79492915074405801</v>
      </c>
      <c r="E17" s="1">
        <f t="shared" si="0"/>
        <v>88.208700019314506</v>
      </c>
      <c r="F17" s="1">
        <v>21.719170393182701</v>
      </c>
      <c r="G17" s="1">
        <v>5.01700834816981</v>
      </c>
      <c r="H17" s="1">
        <v>22.690574826430101</v>
      </c>
      <c r="I17" s="1">
        <v>23.8820697950217</v>
      </c>
      <c r="J17" s="1">
        <v>14.8998766565102</v>
      </c>
    </row>
    <row r="18" spans="1:10">
      <c r="A18" s="1">
        <v>1222</v>
      </c>
      <c r="B18" s="1">
        <v>248.093746507703</v>
      </c>
      <c r="C18" s="1">
        <v>0.182892859246232</v>
      </c>
      <c r="D18" s="1">
        <v>0.76985720894708898</v>
      </c>
      <c r="E18" s="1">
        <f t="shared" si="0"/>
        <v>85.872743827901672</v>
      </c>
      <c r="F18" s="1">
        <v>20.981299382033601</v>
      </c>
      <c r="G18" s="1">
        <v>4.54733506308777</v>
      </c>
      <c r="H18" s="1">
        <v>23.3143829004573</v>
      </c>
      <c r="I18" s="1">
        <v>23.0749697085622</v>
      </c>
      <c r="J18" s="1">
        <v>13.954756773760799</v>
      </c>
    </row>
    <row r="19" spans="1:10">
      <c r="A19" s="1">
        <v>1722</v>
      </c>
      <c r="B19" s="1">
        <v>223.20600314832299</v>
      </c>
      <c r="C19" s="1">
        <v>9.2189618027211595E-2</v>
      </c>
      <c r="D19" s="1">
        <v>0.88759301139033397</v>
      </c>
      <c r="E19" s="1">
        <f t="shared" si="0"/>
        <v>29.50959819692762</v>
      </c>
      <c r="F19" s="1">
        <v>1.65555800541847</v>
      </c>
      <c r="G19" s="1">
        <v>1.7603941150394899</v>
      </c>
      <c r="H19" s="1">
        <v>11.870212628207801</v>
      </c>
      <c r="I19" s="1">
        <v>3.5482150199581599</v>
      </c>
      <c r="J19" s="1">
        <v>10.675218428303699</v>
      </c>
    </row>
    <row r="20" spans="1:10">
      <c r="A20" s="1">
        <v>1726</v>
      </c>
      <c r="B20" s="1">
        <v>220.21040708574699</v>
      </c>
      <c r="C20" s="1">
        <v>0.17709615213775601</v>
      </c>
      <c r="D20" s="1">
        <v>0.86885244724431199</v>
      </c>
      <c r="E20" s="1">
        <f t="shared" si="0"/>
        <v>68.103531286688821</v>
      </c>
      <c r="F20" s="1">
        <v>18.672433201281699</v>
      </c>
      <c r="G20" s="1">
        <v>2.82364772419362</v>
      </c>
      <c r="H20" s="1">
        <v>16.141998387885401</v>
      </c>
      <c r="I20" s="1">
        <v>18.0227945104815</v>
      </c>
      <c r="J20" s="1">
        <v>12.442657462846601</v>
      </c>
    </row>
    <row r="21" spans="1:10">
      <c r="A21" s="1">
        <v>1729</v>
      </c>
      <c r="B21" s="1">
        <v>212.581375114536</v>
      </c>
      <c r="C21" s="1">
        <v>0.120958125634453</v>
      </c>
      <c r="D21" s="1">
        <v>0.88894795413967898</v>
      </c>
      <c r="E21" s="1">
        <f t="shared" si="0"/>
        <v>62.160461270257017</v>
      </c>
      <c r="F21" s="1">
        <v>17.3844647019082</v>
      </c>
      <c r="G21" s="1">
        <v>3.1050571918827199</v>
      </c>
      <c r="H21" s="1">
        <v>16.7466725285107</v>
      </c>
      <c r="I21" s="1">
        <v>13.052065191729501</v>
      </c>
      <c r="J21" s="1">
        <v>11.872201656225901</v>
      </c>
    </row>
    <row r="22" spans="1:10">
      <c r="A22" s="1">
        <v>1745</v>
      </c>
      <c r="B22" s="1">
        <v>231.30574444240699</v>
      </c>
      <c r="C22" s="1">
        <v>0.13797157675813501</v>
      </c>
      <c r="D22" s="1">
        <v>0.826105097929278</v>
      </c>
      <c r="E22" s="1">
        <f t="shared" si="0"/>
        <v>60.57690481906252</v>
      </c>
      <c r="F22" s="1">
        <v>16.688393317528799</v>
      </c>
      <c r="G22" s="1">
        <v>2.9902165589660301</v>
      </c>
      <c r="H22" s="1">
        <v>21.332394059191</v>
      </c>
      <c r="I22" s="1">
        <v>7.45169598955159</v>
      </c>
      <c r="J22" s="1">
        <v>12.1142048938251</v>
      </c>
    </row>
    <row r="23" spans="1:10">
      <c r="A23" s="1">
        <v>1749</v>
      </c>
      <c r="B23" s="1">
        <v>229.72936086345001</v>
      </c>
      <c r="C23" s="1">
        <v>0.11523297451584399</v>
      </c>
      <c r="D23" s="1">
        <v>0.81677196198306701</v>
      </c>
      <c r="E23" s="1">
        <f t="shared" si="0"/>
        <v>61.124317406528718</v>
      </c>
      <c r="F23" s="1">
        <v>15.0188415932335</v>
      </c>
      <c r="G23" s="1">
        <v>2.8499370929523198</v>
      </c>
      <c r="H23" s="1">
        <v>20.086223885950801</v>
      </c>
      <c r="I23" s="1">
        <v>13.085029891969199</v>
      </c>
      <c r="J23" s="1">
        <v>10.084284942422901</v>
      </c>
    </row>
    <row r="24" spans="1:10">
      <c r="A24" s="1">
        <v>1750</v>
      </c>
      <c r="B24" s="1">
        <v>209.35791832332501</v>
      </c>
      <c r="C24" s="1">
        <v>0.12170099122264399</v>
      </c>
      <c r="D24" s="1">
        <v>0.898147495955118</v>
      </c>
      <c r="E24" s="1">
        <f t="shared" si="0"/>
        <v>64.799269241787357</v>
      </c>
      <c r="F24" s="1">
        <v>18.504167406861701</v>
      </c>
      <c r="G24" s="1">
        <v>3.3480448742787599</v>
      </c>
      <c r="H24" s="1">
        <v>11.1855733084032</v>
      </c>
      <c r="I24" s="1">
        <v>18.4465099569213</v>
      </c>
      <c r="J24" s="1">
        <v>13.314973695322401</v>
      </c>
    </row>
    <row r="25" spans="1:10">
      <c r="A25" s="1">
        <v>1752</v>
      </c>
      <c r="B25" s="1">
        <v>222.363827227028</v>
      </c>
      <c r="C25" s="1">
        <v>8.4991229956696501E-2</v>
      </c>
      <c r="D25" s="1">
        <v>0.88301764748752998</v>
      </c>
      <c r="E25" s="1">
        <f t="shared" si="0"/>
        <v>56.462815838992618</v>
      </c>
      <c r="F25" s="1">
        <v>12.1495630719792</v>
      </c>
      <c r="G25" s="1">
        <v>1.84075230739788</v>
      </c>
      <c r="H25" s="1">
        <v>6.4935475441580399</v>
      </c>
      <c r="I25" s="1">
        <v>23.689953563967698</v>
      </c>
      <c r="J25" s="1">
        <v>12.288999351489799</v>
      </c>
    </row>
    <row r="26" spans="1:10">
      <c r="A26" s="1">
        <v>1756</v>
      </c>
      <c r="B26" s="1">
        <v>238.040054294751</v>
      </c>
      <c r="C26" s="1">
        <v>0.15426181168764899</v>
      </c>
      <c r="D26" s="1">
        <v>0.81983890221302902</v>
      </c>
      <c r="E26" s="1">
        <f t="shared" si="0"/>
        <v>61.354569344464068</v>
      </c>
      <c r="F26" s="1">
        <v>16.760792234293401</v>
      </c>
      <c r="G26" s="1">
        <v>1.54288518860546</v>
      </c>
      <c r="H26" s="1">
        <v>14.426947143619</v>
      </c>
      <c r="I26" s="1">
        <v>14.151931983863999</v>
      </c>
      <c r="J26" s="1">
        <v>14.4720127940822</v>
      </c>
    </row>
    <row r="27" spans="1:10">
      <c r="A27" s="1">
        <v>1768</v>
      </c>
      <c r="B27" s="1">
        <v>222.10259357013001</v>
      </c>
      <c r="C27" s="1">
        <v>8.8740842830405398E-2</v>
      </c>
      <c r="D27" s="1">
        <v>0.89150786933706905</v>
      </c>
      <c r="E27" s="1">
        <f t="shared" si="0"/>
        <v>42.702791351310879</v>
      </c>
      <c r="F27" s="1">
        <v>5.3290062927289297</v>
      </c>
      <c r="G27" s="1">
        <v>1.7959707382567101</v>
      </c>
      <c r="H27" s="1">
        <v>2.5664602278523398</v>
      </c>
      <c r="I27" s="1">
        <v>21.908315786367901</v>
      </c>
      <c r="J27" s="1">
        <v>11.103038306105001</v>
      </c>
    </row>
    <row r="28" spans="1:10">
      <c r="A28" s="1">
        <v>1773</v>
      </c>
      <c r="B28" s="1">
        <v>232.90987603506599</v>
      </c>
      <c r="C28" s="1">
        <v>0.46377014658525301</v>
      </c>
      <c r="D28" s="1">
        <v>0.82485933479886397</v>
      </c>
      <c r="E28" s="1">
        <f t="shared" si="0"/>
        <v>24.712041911049845</v>
      </c>
      <c r="F28" s="1">
        <v>4.2718934810704203</v>
      </c>
      <c r="G28" s="1">
        <v>0.41923745142874302</v>
      </c>
      <c r="H28" s="1">
        <v>3.52250414305125</v>
      </c>
      <c r="I28" s="1">
        <v>2.2259194771559301</v>
      </c>
      <c r="J28" s="1">
        <v>14.272487358343501</v>
      </c>
    </row>
    <row r="29" spans="1:10">
      <c r="A29" s="1">
        <v>1785</v>
      </c>
      <c r="B29" s="1">
        <v>222.63478572986901</v>
      </c>
      <c r="C29" s="1">
        <v>9.6004930904715902E-2</v>
      </c>
      <c r="D29" s="1">
        <v>0.88796092476293598</v>
      </c>
      <c r="E29" s="1">
        <f t="shared" si="0"/>
        <v>18.173739260252312</v>
      </c>
      <c r="F29" s="1">
        <v>1.6714974502853901</v>
      </c>
      <c r="G29" s="1">
        <v>1.77734271242397</v>
      </c>
      <c r="H29" s="1">
        <v>4.2169117002667704</v>
      </c>
      <c r="I29" s="1">
        <v>5.3997413038147002</v>
      </c>
      <c r="J29" s="1">
        <v>5.1082460934614797</v>
      </c>
    </row>
    <row r="30" spans="1:10">
      <c r="A30" s="1">
        <v>1791</v>
      </c>
      <c r="B30" s="1">
        <v>233.763918393994</v>
      </c>
      <c r="C30" s="1">
        <v>9.4190253716894601E-2</v>
      </c>
      <c r="D30" s="1">
        <v>0.84398612901049297</v>
      </c>
      <c r="E30" s="1">
        <f t="shared" si="0"/>
        <v>50.598940477540495</v>
      </c>
      <c r="F30" s="1">
        <v>9.0274498123400306</v>
      </c>
      <c r="G30" s="1">
        <v>1.59179954038366</v>
      </c>
      <c r="H30" s="1">
        <v>14.0939552053696</v>
      </c>
      <c r="I30" s="1">
        <v>15.7824537833493</v>
      </c>
      <c r="J30" s="1">
        <v>10.103282136097899</v>
      </c>
    </row>
    <row r="31" spans="1:10">
      <c r="A31" s="1">
        <v>1795</v>
      </c>
      <c r="B31" s="1">
        <v>236.583840035234</v>
      </c>
      <c r="C31" s="1">
        <v>0.121848811380683</v>
      </c>
      <c r="D31" s="1">
        <v>0.83334901035105502</v>
      </c>
      <c r="E31" s="1">
        <f t="shared" si="0"/>
        <v>49.185547296750372</v>
      </c>
      <c r="F31" s="1">
        <v>8.6549751885307007</v>
      </c>
      <c r="G31" s="1">
        <v>1.5429470879570699</v>
      </c>
      <c r="H31" s="1">
        <v>17.019879077255499</v>
      </c>
      <c r="I31" s="1">
        <v>11.051297660027901</v>
      </c>
      <c r="J31" s="1">
        <v>10.9164482829792</v>
      </c>
    </row>
    <row r="32" spans="1:10">
      <c r="A32" s="1">
        <v>1802</v>
      </c>
      <c r="B32" s="1">
        <v>221.878548168055</v>
      </c>
      <c r="C32" s="1">
        <v>0.108073033980424</v>
      </c>
      <c r="D32" s="1">
        <v>0.88476601198954197</v>
      </c>
      <c r="E32" s="1">
        <f t="shared" si="0"/>
        <v>34.21846646671154</v>
      </c>
      <c r="F32" s="1">
        <v>5.1334847551383103</v>
      </c>
      <c r="G32" s="1">
        <v>1.82917681911329</v>
      </c>
      <c r="H32" s="1">
        <v>5.1887366202287399</v>
      </c>
      <c r="I32" s="1">
        <v>11.501050231237301</v>
      </c>
      <c r="J32" s="1">
        <v>10.5660180409939</v>
      </c>
    </row>
    <row r="33" spans="1:10">
      <c r="A33" s="1">
        <v>1803</v>
      </c>
      <c r="B33" s="1">
        <v>228.95850534492899</v>
      </c>
      <c r="C33" s="1">
        <v>8.8379919301672202E-2</v>
      </c>
      <c r="D33" s="1">
        <v>0.86994074239144503</v>
      </c>
      <c r="E33" s="1">
        <f t="shared" si="0"/>
        <v>47.728438915785162</v>
      </c>
      <c r="F33" s="1">
        <v>7.3490632829038001</v>
      </c>
      <c r="G33" s="1">
        <v>1.66183983137147</v>
      </c>
      <c r="H33" s="1">
        <v>11.9975114495991</v>
      </c>
      <c r="I33" s="1">
        <v>13.041357684465099</v>
      </c>
      <c r="J33" s="1">
        <v>13.6786666674457</v>
      </c>
    </row>
    <row r="34" spans="1:10">
      <c r="A34" s="1">
        <v>1825</v>
      </c>
      <c r="B34" s="1">
        <v>236.32833997315601</v>
      </c>
      <c r="C34" s="1">
        <v>0.10088948204041</v>
      </c>
      <c r="D34" s="1">
        <v>0.83155738524794998</v>
      </c>
      <c r="E34" s="1">
        <f t="shared" si="0"/>
        <v>63.866110748810058</v>
      </c>
      <c r="F34" s="1">
        <v>13.607294415662301</v>
      </c>
      <c r="G34" s="1">
        <v>1.54024171811736</v>
      </c>
      <c r="H34" s="1">
        <v>20.8230880570494</v>
      </c>
      <c r="I34" s="1">
        <v>15.199663839999401</v>
      </c>
      <c r="J34" s="1">
        <v>12.695822717981599</v>
      </c>
    </row>
    <row r="35" spans="1:10">
      <c r="A35" s="1">
        <v>1859</v>
      </c>
      <c r="B35" s="1">
        <v>230.72347354572901</v>
      </c>
      <c r="C35" s="1">
        <v>0.109743578112954</v>
      </c>
      <c r="D35" s="1">
        <v>0.81235568584366402</v>
      </c>
      <c r="E35" s="1">
        <f t="shared" si="0"/>
        <v>69.970785227285859</v>
      </c>
      <c r="F35" s="1">
        <v>13.355904523097699</v>
      </c>
      <c r="G35" s="1">
        <v>3.0228259929789498</v>
      </c>
      <c r="H35" s="1">
        <v>21.0230215042507</v>
      </c>
      <c r="I35" s="1">
        <v>22.3932581495481</v>
      </c>
      <c r="J35" s="1">
        <v>10.1757750574104</v>
      </c>
    </row>
    <row r="36" spans="1:10">
      <c r="A36" s="1">
        <v>1860</v>
      </c>
      <c r="B36" s="1">
        <v>219.469996275846</v>
      </c>
      <c r="C36" s="1">
        <v>8.3912578597220497E-2</v>
      </c>
      <c r="D36" s="1">
        <v>0.86285015024899603</v>
      </c>
      <c r="E36" s="1">
        <f t="shared" si="0"/>
        <v>62.893503022990899</v>
      </c>
      <c r="F36" s="1">
        <v>17.534872773609301</v>
      </c>
      <c r="G36" s="1">
        <v>2.9041327960361998</v>
      </c>
      <c r="H36" s="1">
        <v>15.3672071473042</v>
      </c>
      <c r="I36" s="1">
        <v>16.0506694274126</v>
      </c>
      <c r="J36" s="1">
        <v>11.0366208786286</v>
      </c>
    </row>
    <row r="37" spans="1:10">
      <c r="A37" s="1">
        <v>1866</v>
      </c>
      <c r="B37" s="1">
        <v>234.309905712572</v>
      </c>
      <c r="C37" s="1">
        <v>0.121818978043475</v>
      </c>
      <c r="D37" s="1">
        <v>0.80562831467139495</v>
      </c>
      <c r="E37" s="1">
        <f t="shared" si="0"/>
        <v>72.976226646285866</v>
      </c>
      <c r="F37" s="1">
        <v>17.309779725466701</v>
      </c>
      <c r="G37" s="1">
        <v>2.8275753848646601</v>
      </c>
      <c r="H37" s="1">
        <v>22.019791996088902</v>
      </c>
      <c r="I37" s="1">
        <v>19.455252968970001</v>
      </c>
      <c r="J37" s="1">
        <v>11.363826570895601</v>
      </c>
    </row>
    <row r="38" spans="1:10">
      <c r="A38" s="1">
        <v>1923</v>
      </c>
      <c r="B38" s="1">
        <v>219.54626121278201</v>
      </c>
      <c r="C38" s="1">
        <v>8.9362465707539002E-2</v>
      </c>
      <c r="D38" s="1">
        <v>0.89228744837328799</v>
      </c>
      <c r="E38" s="1">
        <f t="shared" si="0"/>
        <v>51.119629476804484</v>
      </c>
      <c r="F38" s="1">
        <v>7.5913265362300804</v>
      </c>
      <c r="G38" s="1">
        <v>1.8864447113860101</v>
      </c>
      <c r="H38" s="1">
        <v>5.4574608282618904</v>
      </c>
      <c r="I38" s="1">
        <v>23.191467324612201</v>
      </c>
      <c r="J38" s="1">
        <v>12.9929300763143</v>
      </c>
    </row>
    <row r="39" spans="1:10">
      <c r="A39" s="1">
        <v>1957</v>
      </c>
      <c r="B39" s="1">
        <v>227.53477145263801</v>
      </c>
      <c r="C39" s="1">
        <v>9.4618350158502798E-2</v>
      </c>
      <c r="D39" s="1">
        <v>0.86674263751841296</v>
      </c>
      <c r="E39" s="1">
        <f t="shared" si="0"/>
        <v>65.245802069290846</v>
      </c>
      <c r="F39" s="1">
        <v>13.3962697532648</v>
      </c>
      <c r="G39" s="1">
        <v>1.7195322456690401</v>
      </c>
      <c r="H39" s="1">
        <v>17.821920818792499</v>
      </c>
      <c r="I39" s="1">
        <v>18.1413813562698</v>
      </c>
      <c r="J39" s="1">
        <v>14.1666978952947</v>
      </c>
    </row>
    <row r="40" spans="1:10">
      <c r="A40" s="1">
        <v>1966</v>
      </c>
      <c r="B40" s="1">
        <v>215.774124523273</v>
      </c>
      <c r="C40" s="1">
        <v>8.3112184810936796E-2</v>
      </c>
      <c r="D40" s="1">
        <v>0.90129988631207303</v>
      </c>
      <c r="E40" s="1">
        <f t="shared" si="0"/>
        <v>49.01556491216121</v>
      </c>
      <c r="F40" s="1">
        <v>3.3344260332530098</v>
      </c>
      <c r="G40" s="1">
        <v>1.9980634468198</v>
      </c>
      <c r="H40" s="1">
        <v>12.5111585276293</v>
      </c>
      <c r="I40" s="1">
        <v>17.300700485211902</v>
      </c>
      <c r="J40" s="1">
        <v>13.871216419247199</v>
      </c>
    </row>
    <row r="41" spans="1:10">
      <c r="A41" s="1">
        <v>1977</v>
      </c>
      <c r="B41" s="1">
        <v>236.48161426224101</v>
      </c>
      <c r="C41" s="1">
        <v>0.15441269859852999</v>
      </c>
      <c r="D41" s="1">
        <v>0.82124632956649402</v>
      </c>
      <c r="E41" s="1">
        <f t="shared" si="0"/>
        <v>65.52724212916155</v>
      </c>
      <c r="F41" s="1">
        <v>9.2106482287834606</v>
      </c>
      <c r="G41" s="1">
        <v>3.2049756613056002</v>
      </c>
      <c r="H41" s="1">
        <v>15.588804269066699</v>
      </c>
      <c r="I41" s="1">
        <v>24.635014851022699</v>
      </c>
      <c r="J41" s="1">
        <v>12.8877991189831</v>
      </c>
    </row>
    <row r="42" spans="1:10">
      <c r="A42" s="1">
        <v>1979</v>
      </c>
      <c r="B42" s="1">
        <v>236.83593347287101</v>
      </c>
      <c r="C42" s="1">
        <v>0.16647541985457801</v>
      </c>
      <c r="D42" s="1">
        <v>0.79773771167468399</v>
      </c>
      <c r="E42" s="1">
        <f t="shared" si="0"/>
        <v>79.412871975358826</v>
      </c>
      <c r="F42" s="1">
        <v>21.349561671466599</v>
      </c>
      <c r="G42" s="1">
        <v>5.9561581970659301</v>
      </c>
      <c r="H42" s="1">
        <v>18.171823241708498</v>
      </c>
      <c r="I42" s="1">
        <v>21.067141869329099</v>
      </c>
      <c r="J42" s="1">
        <v>12.868186995788699</v>
      </c>
    </row>
    <row r="43" spans="1:10">
      <c r="A43" s="1">
        <v>1980</v>
      </c>
      <c r="B43" s="1">
        <v>244.514698865512</v>
      </c>
      <c r="C43" s="1">
        <v>0.35485784996143599</v>
      </c>
      <c r="D43" s="1">
        <v>0.76946938190942304</v>
      </c>
      <c r="E43" s="1">
        <f t="shared" si="0"/>
        <v>63.622814932558327</v>
      </c>
      <c r="F43" s="1">
        <v>19.399832191023801</v>
      </c>
      <c r="G43" s="1">
        <v>3.7709811108397702</v>
      </c>
      <c r="H43" s="1">
        <v>19.9726474775626</v>
      </c>
      <c r="I43" s="1">
        <v>8.5139477270462596</v>
      </c>
      <c r="J43" s="1">
        <v>11.965406426085901</v>
      </c>
    </row>
    <row r="44" spans="1:10">
      <c r="A44" s="1">
        <v>1982</v>
      </c>
      <c r="B44" s="1">
        <v>243.98504219827601</v>
      </c>
      <c r="C44" s="1">
        <v>0.165545634871999</v>
      </c>
      <c r="D44" s="1">
        <v>0.78865482978146895</v>
      </c>
      <c r="E44" s="1">
        <f t="shared" si="0"/>
        <v>66.36257170228221</v>
      </c>
      <c r="F44" s="1">
        <v>11.786601381453901</v>
      </c>
      <c r="G44" s="1">
        <v>1.0934831816658099</v>
      </c>
      <c r="H44" s="1">
        <v>14.357047486967801</v>
      </c>
      <c r="I44" s="1">
        <v>24.892087247155999</v>
      </c>
      <c r="J44" s="1">
        <v>14.233352405038699</v>
      </c>
    </row>
    <row r="45" spans="1:10">
      <c r="A45" s="1">
        <v>1984</v>
      </c>
      <c r="B45" s="1">
        <v>233.473110736569</v>
      </c>
      <c r="C45" s="1">
        <v>0.117944640748935</v>
      </c>
      <c r="D45" s="1">
        <v>0.81122183029498296</v>
      </c>
      <c r="E45" s="1">
        <f t="shared" si="0"/>
        <v>74.160712006350494</v>
      </c>
      <c r="F45" s="1">
        <v>21.716799492627601</v>
      </c>
      <c r="G45" s="1">
        <v>5.5590522770305997</v>
      </c>
      <c r="H45" s="1">
        <v>17.296095727555699</v>
      </c>
      <c r="I45" s="1">
        <v>16.224427835166999</v>
      </c>
      <c r="J45" s="1">
        <v>13.3643366739696</v>
      </c>
    </row>
    <row r="46" spans="1:10">
      <c r="A46" s="1">
        <v>1987</v>
      </c>
      <c r="B46" s="1">
        <v>229.93604818714101</v>
      </c>
      <c r="C46" s="1">
        <v>0.17231717738475899</v>
      </c>
      <c r="D46" s="1">
        <v>0.84345402937087399</v>
      </c>
      <c r="E46" s="1">
        <f t="shared" si="0"/>
        <v>51.769906201610887</v>
      </c>
      <c r="F46" s="1">
        <v>4.6620160166303002</v>
      </c>
      <c r="G46" s="1">
        <v>2.0828188540068902</v>
      </c>
      <c r="H46" s="1">
        <v>12.4374162462732</v>
      </c>
      <c r="I46" s="1">
        <v>18.488169684519999</v>
      </c>
      <c r="J46" s="1">
        <v>14.0994854001805</v>
      </c>
    </row>
    <row r="47" spans="1:10">
      <c r="A47" s="1">
        <v>1988</v>
      </c>
      <c r="B47" s="1">
        <v>229.936363037435</v>
      </c>
      <c r="C47" s="1">
        <v>0.28646910107939</v>
      </c>
      <c r="D47" s="1">
        <v>0.83175429323717898</v>
      </c>
      <c r="E47" s="1">
        <f t="shared" si="0"/>
        <v>77.53110080049791</v>
      </c>
      <c r="F47" s="1">
        <v>20.307046131439598</v>
      </c>
      <c r="G47" s="1">
        <v>5.7627226517786099</v>
      </c>
      <c r="H47" s="1">
        <v>19.131500140238401</v>
      </c>
      <c r="I47" s="1">
        <v>18.2792136662191</v>
      </c>
      <c r="J47" s="1">
        <v>14.050618210822201</v>
      </c>
    </row>
    <row r="48" spans="1:10">
      <c r="A48" s="1">
        <v>1990</v>
      </c>
      <c r="B48" s="1">
        <v>229.90501020593899</v>
      </c>
      <c r="C48" s="1">
        <v>9.8120929855644204E-2</v>
      </c>
      <c r="D48" s="1">
        <v>0.87419400297778105</v>
      </c>
      <c r="E48" s="1">
        <f t="shared" si="0"/>
        <v>31.28165322710651</v>
      </c>
      <c r="F48" s="1">
        <v>1.4954305183197301</v>
      </c>
      <c r="G48" s="1">
        <v>1.59012668576227</v>
      </c>
      <c r="H48" s="1">
        <v>11.8330301872781</v>
      </c>
      <c r="I48" s="1">
        <v>6.0197650970664096</v>
      </c>
      <c r="J48" s="1">
        <v>10.34330073868</v>
      </c>
    </row>
    <row r="49" spans="1:10">
      <c r="A49" s="1">
        <v>1991</v>
      </c>
      <c r="B49" s="1">
        <v>246.086193147492</v>
      </c>
      <c r="C49" s="1">
        <v>0.176398920205844</v>
      </c>
      <c r="D49" s="1">
        <v>0.79492893115718399</v>
      </c>
      <c r="E49" s="1">
        <f t="shared" si="0"/>
        <v>31.580065743280585</v>
      </c>
      <c r="F49" s="1">
        <v>0.87083684418933305</v>
      </c>
      <c r="G49" s="1">
        <v>0.92597534939025195</v>
      </c>
      <c r="H49" s="1">
        <v>12.226126659650999</v>
      </c>
      <c r="I49" s="1">
        <v>7.4531996260893996</v>
      </c>
      <c r="J49" s="1">
        <v>10.1039272639606</v>
      </c>
    </row>
    <row r="50" spans="1:10">
      <c r="A50" s="1">
        <v>1993</v>
      </c>
      <c r="B50" s="1">
        <v>231.336606300092</v>
      </c>
      <c r="C50" s="1">
        <v>0.24116616640267399</v>
      </c>
      <c r="D50" s="1">
        <v>0.81671849007575403</v>
      </c>
      <c r="E50" s="1">
        <f t="shared" si="0"/>
        <v>71.955402550336999</v>
      </c>
      <c r="F50" s="1">
        <v>19.670984303473901</v>
      </c>
      <c r="G50" s="1">
        <v>5.7651710364669997</v>
      </c>
      <c r="H50" s="1">
        <v>18.901528121310601</v>
      </c>
      <c r="I50" s="1">
        <v>14.833301301706999</v>
      </c>
      <c r="J50" s="1">
        <v>12.7844177873785</v>
      </c>
    </row>
    <row r="51" spans="1:10">
      <c r="A51" s="1">
        <v>1995</v>
      </c>
      <c r="B51" s="1">
        <v>228.033797323172</v>
      </c>
      <c r="C51" s="1">
        <v>0.175449480455483</v>
      </c>
      <c r="D51" s="1">
        <v>0.84992236077580596</v>
      </c>
      <c r="E51" s="1">
        <f t="shared" si="0"/>
        <v>52.523656879342774</v>
      </c>
      <c r="F51" s="1">
        <v>5.4871049969063703</v>
      </c>
      <c r="G51" s="1">
        <v>3.3875346686482999</v>
      </c>
      <c r="H51" s="1">
        <v>14.636589078664599</v>
      </c>
      <c r="I51" s="1">
        <v>17.161371213046699</v>
      </c>
      <c r="J51" s="1">
        <v>11.851056922076801</v>
      </c>
    </row>
    <row r="52" spans="1:10">
      <c r="A52" s="1">
        <v>1996</v>
      </c>
      <c r="B52" s="1">
        <v>241.28560339576001</v>
      </c>
      <c r="C52" s="1">
        <v>0.277005176439514</v>
      </c>
      <c r="D52" s="1">
        <v>0.80852555718527197</v>
      </c>
      <c r="E52" s="1">
        <f t="shared" si="0"/>
        <v>79.544861553610588</v>
      </c>
      <c r="F52" s="1">
        <v>19.7426911124725</v>
      </c>
      <c r="G52" s="1">
        <v>4.9336249888877903</v>
      </c>
      <c r="H52" s="1">
        <v>19.539849820798999</v>
      </c>
      <c r="I52" s="1">
        <v>21.368328998500999</v>
      </c>
      <c r="J52" s="1">
        <v>13.960366632950301</v>
      </c>
    </row>
    <row r="53" spans="1:10">
      <c r="A53" s="1">
        <v>1999</v>
      </c>
      <c r="B53" s="1">
        <v>249.94738579927201</v>
      </c>
      <c r="C53" s="1">
        <v>0.18343631630344201</v>
      </c>
      <c r="D53" s="1">
        <v>0.75178760572028303</v>
      </c>
      <c r="E53" s="1">
        <f t="shared" si="0"/>
        <v>46.619952778079558</v>
      </c>
      <c r="F53" s="1">
        <v>5.6432474055340798</v>
      </c>
      <c r="G53" s="1">
        <v>1.2136745756148799</v>
      </c>
      <c r="H53" s="1">
        <v>13.183318376117001</v>
      </c>
      <c r="I53" s="1">
        <v>12.638520310784401</v>
      </c>
      <c r="J53" s="1">
        <v>13.941192110029199</v>
      </c>
    </row>
    <row r="54" spans="1:10">
      <c r="A54" s="1">
        <v>2017</v>
      </c>
      <c r="B54" s="1">
        <v>233.26979630247899</v>
      </c>
      <c r="C54" s="1">
        <v>0.122681140509936</v>
      </c>
      <c r="D54" s="1">
        <v>0.80762623996592497</v>
      </c>
      <c r="E54" s="1">
        <f t="shared" si="0"/>
        <v>72.389788746337928</v>
      </c>
      <c r="F54" s="1">
        <v>21.360657041024201</v>
      </c>
      <c r="G54" s="1">
        <v>5.9986572597638199</v>
      </c>
      <c r="H54" s="1">
        <v>18.211468849331499</v>
      </c>
      <c r="I54" s="1">
        <v>13.823957491102901</v>
      </c>
      <c r="J54" s="1">
        <v>12.995048105115499</v>
      </c>
    </row>
    <row r="55" spans="1:10">
      <c r="A55" s="1">
        <v>2024</v>
      </c>
      <c r="B55" s="1">
        <v>240.510868661134</v>
      </c>
      <c r="C55" s="1">
        <v>0.20296580258291599</v>
      </c>
      <c r="D55" s="1">
        <v>0.77668503840141701</v>
      </c>
      <c r="E55" s="1">
        <f t="shared" si="0"/>
        <v>79.609192390680789</v>
      </c>
      <c r="F55" s="1">
        <v>21.816436553938502</v>
      </c>
      <c r="G55" s="1">
        <v>4.7613259195474802</v>
      </c>
      <c r="H55" s="1">
        <v>19.135959413856298</v>
      </c>
      <c r="I55" s="1">
        <v>19.643047470371801</v>
      </c>
      <c r="J55" s="1">
        <v>14.2524230329667</v>
      </c>
    </row>
    <row r="56" spans="1:10">
      <c r="A56" s="1">
        <v>2032</v>
      </c>
      <c r="B56" s="1">
        <v>229.41188058288901</v>
      </c>
      <c r="C56" s="1">
        <v>0.15981114877997299</v>
      </c>
      <c r="D56" s="1">
        <v>0.83919105276945205</v>
      </c>
      <c r="E56" s="1">
        <f t="shared" si="0"/>
        <v>28.469504252670362</v>
      </c>
      <c r="F56" s="1">
        <v>3.5214242746145201</v>
      </c>
      <c r="G56" s="1">
        <v>3.7378420631393601</v>
      </c>
      <c r="H56" s="1">
        <v>6.2827008151110402</v>
      </c>
      <c r="I56" s="1">
        <v>8.0047766565316891</v>
      </c>
      <c r="J56" s="1">
        <v>6.9227604432737504</v>
      </c>
    </row>
    <row r="57" spans="1:10">
      <c r="A57" s="1">
        <v>2038</v>
      </c>
      <c r="B57" s="1">
        <v>237.70691848467399</v>
      </c>
      <c r="C57" s="1">
        <v>0.201936278906728</v>
      </c>
      <c r="D57" s="1">
        <v>0.79185356132973705</v>
      </c>
      <c r="E57" s="1">
        <f t="shared" si="0"/>
        <v>67.941578780648797</v>
      </c>
      <c r="F57" s="1">
        <v>21.0533988650621</v>
      </c>
      <c r="G57" s="1">
        <v>4.4330786932340001</v>
      </c>
      <c r="H57" s="1">
        <v>11.274564581291701</v>
      </c>
      <c r="I57" s="1">
        <v>17.617063107315499</v>
      </c>
      <c r="J57" s="1">
        <v>13.563473533745499</v>
      </c>
    </row>
    <row r="58" spans="1:10">
      <c r="A58" s="1">
        <v>2049</v>
      </c>
      <c r="B58" s="1">
        <v>243.38267989533799</v>
      </c>
      <c r="C58" s="1">
        <v>0.31452585951489997</v>
      </c>
      <c r="D58" s="1">
        <v>0.76781990925003796</v>
      </c>
      <c r="E58" s="1">
        <f t="shared" si="0"/>
        <v>63.547197395682879</v>
      </c>
      <c r="F58" s="1">
        <v>18.665919910083499</v>
      </c>
      <c r="G58" s="1">
        <v>2.4514526835197801</v>
      </c>
      <c r="H58" s="1">
        <v>19.824432608206699</v>
      </c>
      <c r="I58" s="1">
        <v>10.4008411619931</v>
      </c>
      <c r="J58" s="1">
        <v>12.204551031879801</v>
      </c>
    </row>
    <row r="59" spans="1:10">
      <c r="A59" s="1">
        <v>2062</v>
      </c>
      <c r="B59" s="1">
        <v>224.07351781661299</v>
      </c>
      <c r="C59" s="1">
        <v>0.18706772524345</v>
      </c>
      <c r="D59" s="1">
        <v>0.852228108099223</v>
      </c>
      <c r="E59" s="1">
        <f t="shared" si="0"/>
        <v>80.313684594487441</v>
      </c>
      <c r="F59" s="1">
        <v>23.6026290029446</v>
      </c>
      <c r="G59" s="1">
        <v>6.3810389185210399</v>
      </c>
      <c r="H59" s="1">
        <v>14.141049172340299</v>
      </c>
      <c r="I59" s="1">
        <v>20.955905584783299</v>
      </c>
      <c r="J59" s="1">
        <v>15.233061915898199</v>
      </c>
    </row>
    <row r="60" spans="1:10">
      <c r="A60" s="1">
        <v>2063</v>
      </c>
      <c r="B60" s="1">
        <v>230.99161457902801</v>
      </c>
      <c r="C60" s="1">
        <v>0.15516052212388501</v>
      </c>
      <c r="D60" s="1">
        <v>0.83916386215904104</v>
      </c>
      <c r="E60" s="1">
        <f t="shared" si="0"/>
        <v>50.013172922219518</v>
      </c>
      <c r="F60" s="1">
        <v>5.5692920593602002</v>
      </c>
      <c r="G60" s="1">
        <v>2.6628350858553</v>
      </c>
      <c r="H60" s="1">
        <v>6.26666737885692</v>
      </c>
      <c r="I60" s="1">
        <v>22.0810797769327</v>
      </c>
      <c r="J60" s="1">
        <v>13.4332986212144</v>
      </c>
    </row>
    <row r="61" spans="1:10">
      <c r="A61" s="1">
        <v>2106</v>
      </c>
      <c r="B61" s="1">
        <v>244.63909963735099</v>
      </c>
      <c r="C61" s="1">
        <v>0.172411169822801</v>
      </c>
      <c r="D61" s="1">
        <v>0.77636941074424404</v>
      </c>
      <c r="E61" s="1">
        <f t="shared" si="0"/>
        <v>84.393613069329163</v>
      </c>
      <c r="F61" s="1">
        <v>22.464975686614199</v>
      </c>
      <c r="G61" s="1">
        <v>5.08183822889107</v>
      </c>
      <c r="H61" s="1">
        <v>20.400111846055101</v>
      </c>
      <c r="I61" s="1">
        <v>21.673414737130202</v>
      </c>
      <c r="J61" s="1">
        <v>14.7732725706386</v>
      </c>
    </row>
    <row r="62" spans="1:10">
      <c r="A62" s="1">
        <v>2107</v>
      </c>
      <c r="B62" s="1">
        <v>246.28514904063999</v>
      </c>
      <c r="C62" s="1">
        <v>0.179583207245782</v>
      </c>
      <c r="D62" s="1">
        <v>0.76684603208228697</v>
      </c>
      <c r="E62" s="1">
        <f t="shared" si="0"/>
        <v>48.315602173592531</v>
      </c>
      <c r="F62" s="1">
        <v>11.238510155703199</v>
      </c>
      <c r="G62" s="1">
        <v>1.2895926783504901</v>
      </c>
      <c r="H62" s="1">
        <v>13.4638407859649</v>
      </c>
      <c r="I62" s="1">
        <v>8.0006707479850405</v>
      </c>
      <c r="J62" s="1">
        <v>14.3229878055889</v>
      </c>
    </row>
    <row r="63" spans="1:10">
      <c r="A63" s="1">
        <v>2108</v>
      </c>
      <c r="B63" s="1">
        <v>244.80612390228799</v>
      </c>
      <c r="C63" s="1">
        <v>0.15918228170086199</v>
      </c>
      <c r="D63" s="1">
        <v>0.78276215346177302</v>
      </c>
      <c r="E63" s="1">
        <f t="shared" si="0"/>
        <v>50.776268343220167</v>
      </c>
      <c r="F63" s="1">
        <v>8.0261627798348307</v>
      </c>
      <c r="G63" s="1">
        <v>2.6908905309804401</v>
      </c>
      <c r="H63" s="1">
        <v>14.596749317096201</v>
      </c>
      <c r="I63" s="1">
        <v>10.3917179269896</v>
      </c>
      <c r="J63" s="1">
        <v>15.0707477883191</v>
      </c>
    </row>
    <row r="64" spans="1:10">
      <c r="A64" s="1">
        <v>2109</v>
      </c>
      <c r="B64" s="1">
        <v>236.47438770741701</v>
      </c>
      <c r="C64" s="1">
        <v>0.199160929998136</v>
      </c>
      <c r="D64" s="1">
        <v>0.79954474596069103</v>
      </c>
      <c r="E64" s="1">
        <f t="shared" si="0"/>
        <v>84.702566129138717</v>
      </c>
      <c r="F64" s="1">
        <v>24.1301578749508</v>
      </c>
      <c r="G64" s="1">
        <v>5.2562156989582096</v>
      </c>
      <c r="H64" s="1">
        <v>23.5740765918421</v>
      </c>
      <c r="I64" s="1">
        <v>15.4929621249359</v>
      </c>
      <c r="J64" s="1">
        <v>16.249153838451701</v>
      </c>
    </row>
    <row r="65" spans="1:10">
      <c r="A65" s="1">
        <v>2110</v>
      </c>
      <c r="B65" s="1">
        <v>235.117343371391</v>
      </c>
      <c r="C65" s="1">
        <v>0.19348119633022401</v>
      </c>
      <c r="D65" s="1">
        <v>0.81650091978945805</v>
      </c>
      <c r="E65" s="1">
        <f t="shared" si="0"/>
        <v>47.87138002629041</v>
      </c>
      <c r="F65" s="1">
        <v>10.6988711964056</v>
      </c>
      <c r="G65" s="1">
        <v>1.9848063621263901</v>
      </c>
      <c r="H65" s="1">
        <v>13.9312525450233</v>
      </c>
      <c r="I65" s="1">
        <v>5.5828362699757204</v>
      </c>
      <c r="J65" s="1">
        <v>15.6736136527594</v>
      </c>
    </row>
    <row r="66" spans="1:10">
      <c r="A66" s="1">
        <v>2112</v>
      </c>
      <c r="B66" s="1">
        <v>234.41046146538901</v>
      </c>
      <c r="C66" s="1">
        <v>0.141199752934666</v>
      </c>
      <c r="D66" s="1">
        <v>0.80424608191551406</v>
      </c>
      <c r="E66" s="1">
        <f t="shared" si="0"/>
        <v>73.196617399827559</v>
      </c>
      <c r="F66" s="1">
        <v>19.481359612678698</v>
      </c>
      <c r="G66" s="1">
        <v>6.0018325577192604</v>
      </c>
      <c r="H66" s="1">
        <v>17.861656255046601</v>
      </c>
      <c r="I66" s="1">
        <v>18.3392414259384</v>
      </c>
      <c r="J66" s="1">
        <v>11.5125275484446</v>
      </c>
    </row>
    <row r="67" spans="1:10">
      <c r="A67" s="1">
        <v>2113</v>
      </c>
      <c r="B67" s="1">
        <v>236.52759570928001</v>
      </c>
      <c r="C67" s="1">
        <v>0.27990708250576002</v>
      </c>
      <c r="D67" s="1">
        <v>0.79726776849342496</v>
      </c>
      <c r="E67" s="1">
        <f t="shared" ref="E67:E105" si="1">SUM(F67:J67)</f>
        <v>80.244709067212625</v>
      </c>
      <c r="F67" s="1">
        <v>22.4992831205921</v>
      </c>
      <c r="G67" s="1">
        <v>5.3215459162424299</v>
      </c>
      <c r="H67" s="1">
        <v>24.371604155592699</v>
      </c>
      <c r="I67" s="1">
        <v>12.397924379563101</v>
      </c>
      <c r="J67" s="1">
        <v>15.654351495222301</v>
      </c>
    </row>
    <row r="68" spans="1:10">
      <c r="A68" s="1">
        <v>2114</v>
      </c>
      <c r="B68" s="1">
        <v>237.03680565043399</v>
      </c>
      <c r="C68" s="1">
        <v>0.18100372377385901</v>
      </c>
      <c r="D68" s="1">
        <v>0.79485853891513603</v>
      </c>
      <c r="E68" s="1">
        <f t="shared" si="1"/>
        <v>78.55044562462686</v>
      </c>
      <c r="F68" s="1">
        <v>22.2808238939765</v>
      </c>
      <c r="G68" s="1">
        <v>5.62001895628637</v>
      </c>
      <c r="H68" s="1">
        <v>24.4664035431339</v>
      </c>
      <c r="I68" s="1">
        <v>11.207787945159</v>
      </c>
      <c r="J68" s="1">
        <v>14.9754112860711</v>
      </c>
    </row>
    <row r="69" spans="1:10">
      <c r="A69" s="1">
        <v>2117</v>
      </c>
      <c r="B69" s="1">
        <v>237.218606245334</v>
      </c>
      <c r="C69" s="1">
        <v>0.15628485179298701</v>
      </c>
      <c r="D69" s="1">
        <v>0.81430708006558605</v>
      </c>
      <c r="E69" s="1">
        <f t="shared" si="1"/>
        <v>76.314857208737337</v>
      </c>
      <c r="F69" s="1">
        <v>13.3495219267551</v>
      </c>
      <c r="G69" s="1">
        <v>3.3626482406314402</v>
      </c>
      <c r="H69" s="1">
        <v>18.8051411658227</v>
      </c>
      <c r="I69" s="1">
        <v>25.874710262064202</v>
      </c>
      <c r="J69" s="1">
        <v>14.922835613463899</v>
      </c>
    </row>
    <row r="70" spans="1:10">
      <c r="A70" s="1">
        <v>2121</v>
      </c>
      <c r="B70" s="1">
        <v>249.845548342949</v>
      </c>
      <c r="C70" s="1">
        <v>0.19250141845882801</v>
      </c>
      <c r="D70" s="1">
        <v>0.71949658810123696</v>
      </c>
      <c r="E70" s="1">
        <f t="shared" si="1"/>
        <v>78.477964287540743</v>
      </c>
      <c r="F70" s="1">
        <v>14.194669848780199</v>
      </c>
      <c r="G70" s="1">
        <v>2.7647554955401299</v>
      </c>
      <c r="H70" s="1">
        <v>23.033239990355</v>
      </c>
      <c r="I70" s="1">
        <v>26.8702255485737</v>
      </c>
      <c r="J70" s="1">
        <v>11.615073404291699</v>
      </c>
    </row>
    <row r="71" spans="1:10">
      <c r="A71" s="1">
        <v>2128</v>
      </c>
      <c r="B71" s="1">
        <v>248.60051542552799</v>
      </c>
      <c r="C71" s="1">
        <v>0.19420133416765001</v>
      </c>
      <c r="D71" s="1">
        <v>0.71894523315666903</v>
      </c>
      <c r="E71" s="1">
        <f t="shared" si="1"/>
        <v>78.584871212449229</v>
      </c>
      <c r="F71" s="1">
        <v>15.297777048429399</v>
      </c>
      <c r="G71" s="1">
        <v>3.2988813480463399</v>
      </c>
      <c r="H71" s="1">
        <v>25.4540112921608</v>
      </c>
      <c r="I71" s="1">
        <v>22.935848322026398</v>
      </c>
      <c r="J71" s="1">
        <v>11.598353201786299</v>
      </c>
    </row>
    <row r="72" spans="1:10">
      <c r="A72" s="1">
        <v>2144</v>
      </c>
      <c r="B72" s="1">
        <v>245.556608840921</v>
      </c>
      <c r="C72" s="1">
        <v>0.19441333687596399</v>
      </c>
      <c r="D72" s="1">
        <v>0.78169558444631604</v>
      </c>
      <c r="E72" s="1">
        <f t="shared" si="1"/>
        <v>21.81353521135469</v>
      </c>
      <c r="F72" s="1">
        <v>1.32318923293568</v>
      </c>
      <c r="G72" s="1">
        <v>1.2269127065595999</v>
      </c>
      <c r="H72" s="1">
        <v>5.6971820697547404</v>
      </c>
      <c r="I72" s="1">
        <v>6.4172464944816499</v>
      </c>
      <c r="J72" s="1">
        <v>7.1490047076230203</v>
      </c>
    </row>
    <row r="73" spans="1:10">
      <c r="A73" s="1">
        <v>2145</v>
      </c>
      <c r="B73" s="1">
        <v>241.69511111675499</v>
      </c>
      <c r="C73" s="1">
        <v>0.160608332949745</v>
      </c>
      <c r="D73" s="1">
        <v>0.79042116392010198</v>
      </c>
      <c r="E73" s="1">
        <f t="shared" si="1"/>
        <v>84.144770678631787</v>
      </c>
      <c r="F73" s="1">
        <v>23.285699730951301</v>
      </c>
      <c r="G73" s="1">
        <v>5.3930845020979801</v>
      </c>
      <c r="H73" s="1">
        <v>21.869404919617502</v>
      </c>
      <c r="I73" s="1">
        <v>18.338701182329199</v>
      </c>
      <c r="J73" s="1">
        <v>15.257880343635801</v>
      </c>
    </row>
    <row r="74" spans="1:10">
      <c r="A74" s="1">
        <v>2147</v>
      </c>
      <c r="B74" s="1">
        <v>241.75250915375301</v>
      </c>
      <c r="C74" s="1">
        <v>0.14961998275552801</v>
      </c>
      <c r="D74" s="1">
        <v>0.78318318584576196</v>
      </c>
      <c r="E74" s="1">
        <f t="shared" si="1"/>
        <v>83.924228694682611</v>
      </c>
      <c r="F74" s="1">
        <v>23.8661053341648</v>
      </c>
      <c r="G74" s="1">
        <v>5.3599754954836198</v>
      </c>
      <c r="H74" s="1">
        <v>22.163456214215199</v>
      </c>
      <c r="I74" s="1">
        <v>16.748612677586902</v>
      </c>
      <c r="J74" s="1">
        <v>15.786078973232099</v>
      </c>
    </row>
    <row r="75" spans="1:10">
      <c r="A75" s="1">
        <v>2148</v>
      </c>
      <c r="B75" s="1">
        <v>246.97504054098701</v>
      </c>
      <c r="C75" s="1">
        <v>0.15438242353424</v>
      </c>
      <c r="D75" s="1">
        <v>0.77526684876200502</v>
      </c>
      <c r="E75" s="1">
        <f t="shared" si="1"/>
        <v>50.985255587225303</v>
      </c>
      <c r="F75" s="1">
        <v>6.4632811207646004</v>
      </c>
      <c r="G75" s="1">
        <v>2.7102975777856999</v>
      </c>
      <c r="H75" s="1">
        <v>16.4334648564828</v>
      </c>
      <c r="I75" s="1">
        <v>11.3237522160575</v>
      </c>
      <c r="J75" s="1">
        <v>14.054459816134701</v>
      </c>
    </row>
    <row r="76" spans="1:10">
      <c r="A76" s="1">
        <v>2152</v>
      </c>
      <c r="B76" s="1">
        <v>228.32037804823801</v>
      </c>
      <c r="C76" s="1">
        <v>0.15549914935107001</v>
      </c>
      <c r="D76" s="1">
        <v>0.84246804506292094</v>
      </c>
      <c r="E76" s="1">
        <f t="shared" si="1"/>
        <v>55.074988084843113</v>
      </c>
      <c r="F76" s="1">
        <v>10.2146909857307</v>
      </c>
      <c r="G76" s="1">
        <v>2.7473338933988098</v>
      </c>
      <c r="H76" s="1">
        <v>6.6742063223447996</v>
      </c>
      <c r="I76" s="1">
        <v>22.279177183152701</v>
      </c>
      <c r="J76" s="1">
        <v>13.159579700216099</v>
      </c>
    </row>
    <row r="77" spans="1:10">
      <c r="A77" s="1">
        <v>2156</v>
      </c>
      <c r="B77" s="1">
        <v>238.14671949404001</v>
      </c>
      <c r="C77" s="1">
        <v>0.20084332126423801</v>
      </c>
      <c r="D77" s="1">
        <v>0.80025007221673305</v>
      </c>
      <c r="E77" s="1">
        <f t="shared" si="1"/>
        <v>56.901549206780174</v>
      </c>
      <c r="F77" s="1">
        <v>9.2209900004963394</v>
      </c>
      <c r="G77" s="1">
        <v>1.53078709873514</v>
      </c>
      <c r="H77" s="1">
        <v>7.6030238791451996</v>
      </c>
      <c r="I77" s="1">
        <v>23.946834530830898</v>
      </c>
      <c r="J77" s="1">
        <v>14.5999136975726</v>
      </c>
    </row>
    <row r="78" spans="1:10">
      <c r="A78" s="1">
        <v>2158</v>
      </c>
      <c r="B78" s="1">
        <v>239.194463261415</v>
      </c>
      <c r="C78" s="1">
        <v>0.25136149696543603</v>
      </c>
      <c r="D78" s="1">
        <v>0.804273126880655</v>
      </c>
      <c r="E78" s="1">
        <f t="shared" si="1"/>
        <v>60.320320373617129</v>
      </c>
      <c r="F78" s="1">
        <v>13.393324682006099</v>
      </c>
      <c r="G78" s="1">
        <v>1.6235651206506301</v>
      </c>
      <c r="H78" s="1">
        <v>8.0537053341975007</v>
      </c>
      <c r="I78" s="1">
        <v>23.933441126368201</v>
      </c>
      <c r="J78" s="1">
        <v>13.316284110394699</v>
      </c>
    </row>
    <row r="79" spans="1:10">
      <c r="A79" s="1">
        <v>2160</v>
      </c>
      <c r="B79" s="1">
        <v>215.91617738955901</v>
      </c>
      <c r="C79" s="1">
        <v>0.15656025049376199</v>
      </c>
      <c r="D79" s="1">
        <v>0.88437914433477804</v>
      </c>
      <c r="E79" s="1">
        <f t="shared" si="1"/>
        <v>46.252378070239317</v>
      </c>
      <c r="F79" s="1">
        <v>5.8644680443511099</v>
      </c>
      <c r="G79" s="1">
        <v>3.9656922632764</v>
      </c>
      <c r="H79" s="1">
        <v>6.7101435746006004</v>
      </c>
      <c r="I79" s="1">
        <v>17.993796243484201</v>
      </c>
      <c r="J79" s="1">
        <v>11.718277944526999</v>
      </c>
    </row>
    <row r="80" spans="1:10">
      <c r="A80" s="1">
        <v>2214</v>
      </c>
      <c r="B80" s="1">
        <v>224.575613125947</v>
      </c>
      <c r="C80" s="1">
        <v>9.0727273864873101E-2</v>
      </c>
      <c r="D80" s="1">
        <v>0.83987552718765301</v>
      </c>
      <c r="E80" s="1">
        <f t="shared" si="1"/>
        <v>65.795548126678952</v>
      </c>
      <c r="F80" s="1">
        <v>15.4679583816754</v>
      </c>
      <c r="G80" s="1">
        <v>2.93026782588875</v>
      </c>
      <c r="H80" s="1">
        <v>17.586665916883302</v>
      </c>
      <c r="I80" s="1">
        <v>19.792925650555699</v>
      </c>
      <c r="J80" s="1">
        <v>10.0177303516758</v>
      </c>
    </row>
    <row r="81" spans="1:10">
      <c r="A81" s="1">
        <v>2215</v>
      </c>
      <c r="B81" s="1">
        <v>237.098210202085</v>
      </c>
      <c r="C81" s="1">
        <v>0.14028977346789301</v>
      </c>
      <c r="D81" s="1">
        <v>0.786751240074826</v>
      </c>
      <c r="E81" s="1">
        <f t="shared" si="1"/>
        <v>82.059188059984635</v>
      </c>
      <c r="F81" s="1">
        <v>20.791953919954501</v>
      </c>
      <c r="G81" s="1">
        <v>5.9413794180168296</v>
      </c>
      <c r="H81" s="1">
        <v>18.252108404699701</v>
      </c>
      <c r="I81" s="1">
        <v>24.590858772423299</v>
      </c>
      <c r="J81" s="1">
        <v>12.4828875448903</v>
      </c>
    </row>
    <row r="82" spans="1:10">
      <c r="A82" s="1">
        <v>2245</v>
      </c>
      <c r="B82" s="1">
        <v>219.14489941196501</v>
      </c>
      <c r="C82" s="1">
        <v>8.0873187385494302E-2</v>
      </c>
      <c r="D82" s="1">
        <v>0.89168743587604504</v>
      </c>
      <c r="E82" s="1">
        <f t="shared" si="1"/>
        <v>49.260625926617656</v>
      </c>
      <c r="F82" s="1">
        <v>6.3737142547126897</v>
      </c>
      <c r="G82" s="1">
        <v>1.9443679246457899</v>
      </c>
      <c r="H82" s="1">
        <v>4.9144059049951796</v>
      </c>
      <c r="I82" s="1">
        <v>22.908090955327399</v>
      </c>
      <c r="J82" s="1">
        <v>13.120046886936599</v>
      </c>
    </row>
    <row r="83" spans="1:10">
      <c r="A83" s="1">
        <v>2247</v>
      </c>
      <c r="B83" s="1">
        <v>226.270180501883</v>
      </c>
      <c r="C83" s="1">
        <v>9.1981783559177105E-2</v>
      </c>
      <c r="D83" s="1">
        <v>0.87842516019996197</v>
      </c>
      <c r="E83" s="1">
        <f t="shared" si="1"/>
        <v>64.528220323799061</v>
      </c>
      <c r="F83" s="1">
        <v>12.6603165530107</v>
      </c>
      <c r="G83" s="1">
        <v>1.7087741126893601</v>
      </c>
      <c r="H83" s="1">
        <v>12.1980378570833</v>
      </c>
      <c r="I83" s="1">
        <v>22.596389447285699</v>
      </c>
      <c r="J83" s="1">
        <v>15.364702353729999</v>
      </c>
    </row>
    <row r="84" spans="1:10">
      <c r="A84" s="1">
        <v>2248</v>
      </c>
      <c r="B84" s="1">
        <v>226.93864750670801</v>
      </c>
      <c r="C84" s="1">
        <v>0.13384069759409101</v>
      </c>
      <c r="D84" s="1">
        <v>0.85285522700956495</v>
      </c>
      <c r="E84" s="1">
        <f t="shared" si="1"/>
        <v>56.841748680533819</v>
      </c>
      <c r="F84" s="1">
        <v>7.9508315015422397</v>
      </c>
      <c r="G84" s="1">
        <v>3.8156737644475398</v>
      </c>
      <c r="H84" s="1">
        <v>7.1211609900512398</v>
      </c>
      <c r="I84" s="1">
        <v>24.222849484452102</v>
      </c>
      <c r="J84" s="1">
        <v>13.7312329400407</v>
      </c>
    </row>
    <row r="85" spans="1:10">
      <c r="A85" s="1">
        <v>2250</v>
      </c>
      <c r="B85" s="1">
        <v>237.513029969494</v>
      </c>
      <c r="C85" s="1">
        <v>0.151377225073837</v>
      </c>
      <c r="D85" s="1">
        <v>0.81733029909204702</v>
      </c>
      <c r="E85" s="1">
        <f t="shared" si="1"/>
        <v>63.65594897872387</v>
      </c>
      <c r="F85" s="1">
        <v>10.562144135888699</v>
      </c>
      <c r="G85" s="1">
        <v>3.4150454780296702</v>
      </c>
      <c r="H85" s="1">
        <v>10.1512495852736</v>
      </c>
      <c r="I85" s="1">
        <v>24.419503167930799</v>
      </c>
      <c r="J85" s="1">
        <v>15.1080066116011</v>
      </c>
    </row>
    <row r="86" spans="1:10">
      <c r="A86" s="1">
        <v>2264</v>
      </c>
      <c r="B86" s="1">
        <v>251.01299653839499</v>
      </c>
      <c r="C86" s="1">
        <v>0.19315205070348701</v>
      </c>
      <c r="D86" s="1">
        <v>0.77140051071939797</v>
      </c>
      <c r="E86" s="1">
        <f t="shared" si="1"/>
        <v>97.195686463012038</v>
      </c>
      <c r="F86" s="1">
        <v>25.167084142852399</v>
      </c>
      <c r="G86" s="1">
        <v>4.35138644180513</v>
      </c>
      <c r="H86" s="1">
        <v>22.155545038919801</v>
      </c>
      <c r="I86" s="1">
        <v>27.8693388763086</v>
      </c>
      <c r="J86" s="1">
        <v>17.652331963126102</v>
      </c>
    </row>
    <row r="87" spans="1:10">
      <c r="A87" s="1">
        <v>2266</v>
      </c>
      <c r="B87" s="1">
        <v>234.51394597715</v>
      </c>
      <c r="C87" s="1">
        <v>0.17929411201607401</v>
      </c>
      <c r="D87" s="1">
        <v>0.82461139208067602</v>
      </c>
      <c r="E87" s="1">
        <f t="shared" si="1"/>
        <v>51.490229761462466</v>
      </c>
      <c r="F87" s="1">
        <v>6.8030271871332104</v>
      </c>
      <c r="G87" s="1">
        <v>3.4877937720690499</v>
      </c>
      <c r="H87" s="1">
        <v>12.771694578766599</v>
      </c>
      <c r="I87" s="1">
        <v>17.686568121535601</v>
      </c>
      <c r="J87" s="1">
        <v>10.741146101958</v>
      </c>
    </row>
    <row r="88" spans="1:10">
      <c r="A88" s="1">
        <v>2271</v>
      </c>
      <c r="B88" s="1">
        <v>238.404350150976</v>
      </c>
      <c r="C88" s="1">
        <v>0.19204276075219801</v>
      </c>
      <c r="D88" s="1">
        <v>0.79676022723810502</v>
      </c>
      <c r="E88" s="1">
        <f t="shared" si="1"/>
        <v>86.408714714826957</v>
      </c>
      <c r="F88" s="1">
        <v>21.862493925958098</v>
      </c>
      <c r="G88" s="1">
        <v>5.7603366800868603</v>
      </c>
      <c r="H88" s="1">
        <v>18.348601809413601</v>
      </c>
      <c r="I88" s="1">
        <v>26.0412109362351</v>
      </c>
      <c r="J88" s="1">
        <v>14.3960713631333</v>
      </c>
    </row>
    <row r="89" spans="1:10">
      <c r="A89" s="1">
        <v>2275</v>
      </c>
      <c r="B89" s="1">
        <v>246.07610120797099</v>
      </c>
      <c r="C89" s="1">
        <v>0.205750228687509</v>
      </c>
      <c r="D89" s="1">
        <v>0.75595626916069902</v>
      </c>
      <c r="E89" s="1">
        <f t="shared" si="1"/>
        <v>66.044681513002786</v>
      </c>
      <c r="F89" s="1">
        <v>16.0915987930718</v>
      </c>
      <c r="G89" s="1">
        <v>1.8524068156512801</v>
      </c>
      <c r="H89" s="1">
        <v>14.643256042448501</v>
      </c>
      <c r="I89" s="1">
        <v>18.2701423043288</v>
      </c>
      <c r="J89" s="1">
        <v>15.1872775575024</v>
      </c>
    </row>
    <row r="90" spans="1:10">
      <c r="A90" s="1">
        <v>2305</v>
      </c>
      <c r="B90" s="1">
        <v>251.320828708882</v>
      </c>
      <c r="C90" s="1">
        <v>0.191555659237512</v>
      </c>
      <c r="D90" s="1">
        <v>0.76541091490773805</v>
      </c>
      <c r="E90" s="1">
        <f t="shared" si="1"/>
        <v>97.188041560411563</v>
      </c>
      <c r="F90" s="1">
        <v>24.8132885130243</v>
      </c>
      <c r="G90" s="1">
        <v>4.35443886529485</v>
      </c>
      <c r="H90" s="1">
        <v>23.213462614858599</v>
      </c>
      <c r="I90" s="1">
        <v>27.695602671171802</v>
      </c>
      <c r="J90" s="1">
        <v>17.111248896062001</v>
      </c>
    </row>
    <row r="91" spans="1:10">
      <c r="A91" s="1">
        <v>2312</v>
      </c>
      <c r="B91" s="1">
        <v>239.84214842041499</v>
      </c>
      <c r="C91" s="1">
        <v>0.19155115963741001</v>
      </c>
      <c r="D91" s="1">
        <v>0.79066831298176898</v>
      </c>
      <c r="E91" s="1">
        <f t="shared" si="1"/>
        <v>87.725957365403048</v>
      </c>
      <c r="F91" s="1">
        <v>23.7525992949478</v>
      </c>
      <c r="G91" s="1">
        <v>5.9395314630385601</v>
      </c>
      <c r="H91" s="1">
        <v>18.776765511983101</v>
      </c>
      <c r="I91" s="1">
        <v>23.919392490138598</v>
      </c>
      <c r="J91" s="1">
        <v>15.337668605295001</v>
      </c>
    </row>
    <row r="92" spans="1:10">
      <c r="A92" s="1">
        <v>2318</v>
      </c>
      <c r="B92" s="1">
        <v>241.24885808229499</v>
      </c>
      <c r="C92" s="1">
        <v>0.16645905015314399</v>
      </c>
      <c r="D92" s="1">
        <v>0.80999515509537301</v>
      </c>
      <c r="E92" s="1">
        <f t="shared" si="1"/>
        <v>63.466631133648534</v>
      </c>
      <c r="F92" s="1">
        <v>7.2982901893148604</v>
      </c>
      <c r="G92" s="1">
        <v>2.8409420586383698</v>
      </c>
      <c r="H92" s="1">
        <v>15.1142054556432</v>
      </c>
      <c r="I92" s="1">
        <v>24.789064482202999</v>
      </c>
      <c r="J92" s="1">
        <v>13.4241289478491</v>
      </c>
    </row>
    <row r="93" spans="1:10">
      <c r="A93" s="1">
        <v>2324</v>
      </c>
      <c r="B93" s="1">
        <v>226.186267345902</v>
      </c>
      <c r="C93" s="1">
        <v>0.17246872509443101</v>
      </c>
      <c r="D93" s="1">
        <v>0.84453921516036701</v>
      </c>
      <c r="E93" s="1">
        <f t="shared" si="1"/>
        <v>83.027663606244801</v>
      </c>
      <c r="F93" s="1">
        <v>24.168562717926399</v>
      </c>
      <c r="G93" s="1">
        <v>6.1386258949919004</v>
      </c>
      <c r="H93" s="1">
        <v>14.167023381517501</v>
      </c>
      <c r="I93" s="1">
        <v>22.465405575644201</v>
      </c>
      <c r="J93" s="1">
        <v>16.088046036164801</v>
      </c>
    </row>
    <row r="94" spans="1:10">
      <c r="A94" s="1">
        <v>2326</v>
      </c>
      <c r="B94" s="1">
        <v>237.967220177163</v>
      </c>
      <c r="C94" s="1">
        <v>0.42190685338206502</v>
      </c>
      <c r="D94" s="1">
        <v>0.81552167947749299</v>
      </c>
      <c r="E94" s="1">
        <f t="shared" si="1"/>
        <v>76.951669114594054</v>
      </c>
      <c r="F94" s="1">
        <v>23.749731930072599</v>
      </c>
      <c r="G94" s="1">
        <v>5.2896502177337403</v>
      </c>
      <c r="H94" s="1">
        <v>9.0126694930933091</v>
      </c>
      <c r="I94" s="1">
        <v>23.221405734173601</v>
      </c>
      <c r="J94" s="1">
        <v>15.678211739520799</v>
      </c>
    </row>
    <row r="95" spans="1:10">
      <c r="A95" s="1">
        <v>2333</v>
      </c>
      <c r="B95" s="1">
        <v>242.170028323715</v>
      </c>
      <c r="C95" s="1">
        <v>0.19319750165183699</v>
      </c>
      <c r="D95" s="1">
        <v>0.79875601056364598</v>
      </c>
      <c r="E95" s="1">
        <f t="shared" si="1"/>
        <v>68.485669110218268</v>
      </c>
      <c r="F95" s="1">
        <v>11.529418971120799</v>
      </c>
      <c r="G95" s="1">
        <v>3.1635113180440699</v>
      </c>
      <c r="H95" s="1">
        <v>17.053226216248699</v>
      </c>
      <c r="I95" s="1">
        <v>22.2997475934887</v>
      </c>
      <c r="J95" s="1">
        <v>14.439765011316</v>
      </c>
    </row>
    <row r="96" spans="1:10">
      <c r="A96" s="1">
        <v>2362</v>
      </c>
      <c r="B96" s="1">
        <v>233.52217907414001</v>
      </c>
      <c r="C96" s="1">
        <v>0.14668045866914201</v>
      </c>
      <c r="D96" s="1">
        <v>0.80308341068754197</v>
      </c>
      <c r="E96" s="1">
        <f t="shared" si="1"/>
        <v>73.271263145529062</v>
      </c>
      <c r="F96" s="1">
        <v>19.113528668314899</v>
      </c>
      <c r="G96" s="1">
        <v>5.6009416345765501</v>
      </c>
      <c r="H96" s="1">
        <v>16.2275706866067</v>
      </c>
      <c r="I96" s="1">
        <v>19.852565749439801</v>
      </c>
      <c r="J96" s="1">
        <v>12.476656406591101</v>
      </c>
    </row>
    <row r="97" spans="1:10">
      <c r="A97" s="1">
        <v>2366</v>
      </c>
      <c r="B97" s="1">
        <v>248.95110757488601</v>
      </c>
      <c r="C97" s="1">
        <v>0.16191556277286301</v>
      </c>
      <c r="D97" s="1">
        <v>0.76993525821093201</v>
      </c>
      <c r="E97" s="1">
        <f t="shared" si="1"/>
        <v>90.563446594132557</v>
      </c>
      <c r="F97" s="1">
        <v>23.5534879910117</v>
      </c>
      <c r="G97" s="1">
        <v>4.9760963661965603</v>
      </c>
      <c r="H97" s="1">
        <v>23.957063748680799</v>
      </c>
      <c r="I97" s="1">
        <v>23.0748552527816</v>
      </c>
      <c r="J97" s="1">
        <v>15.0019432354619</v>
      </c>
    </row>
    <row r="98" spans="1:10">
      <c r="A98" s="1">
        <v>2392</v>
      </c>
      <c r="B98" s="1">
        <v>235.259464889291</v>
      </c>
      <c r="C98" s="1">
        <v>0.27886612137057298</v>
      </c>
      <c r="D98" s="1">
        <v>0.81207422758651604</v>
      </c>
      <c r="E98" s="1">
        <f t="shared" si="1"/>
        <v>84.603591031749389</v>
      </c>
      <c r="F98" s="1">
        <v>22.983451434994901</v>
      </c>
      <c r="G98" s="1">
        <v>5.6898948259036901</v>
      </c>
      <c r="H98" s="1">
        <v>17.763682811227198</v>
      </c>
      <c r="I98" s="1">
        <v>23.391432612481399</v>
      </c>
      <c r="J98" s="1">
        <v>14.775129347142199</v>
      </c>
    </row>
    <row r="99" spans="1:10">
      <c r="A99" s="1">
        <v>2403</v>
      </c>
      <c r="B99" s="1">
        <v>235.10905437201799</v>
      </c>
      <c r="C99" s="1">
        <v>8.5863740601644797E-2</v>
      </c>
      <c r="D99" s="1">
        <v>0.83518467322071299</v>
      </c>
      <c r="E99" s="1">
        <f t="shared" si="1"/>
        <v>40.946711674129496</v>
      </c>
      <c r="F99" s="1">
        <v>6.86463854341351</v>
      </c>
      <c r="G99" s="1">
        <v>1.5784299025910999</v>
      </c>
      <c r="H99" s="1">
        <v>9.2311335422884895</v>
      </c>
      <c r="I99" s="1">
        <v>10.9945857956494</v>
      </c>
      <c r="J99" s="1">
        <v>12.277923890186999</v>
      </c>
    </row>
    <row r="100" spans="1:10">
      <c r="A100" s="1">
        <v>2410</v>
      </c>
      <c r="B100" s="1">
        <v>236.36786177734601</v>
      </c>
      <c r="C100" s="1">
        <v>0.102504956647004</v>
      </c>
      <c r="D100" s="1">
        <v>0.82747063938605703</v>
      </c>
      <c r="E100" s="1">
        <f t="shared" si="1"/>
        <v>76.305069128141241</v>
      </c>
      <c r="F100" s="1">
        <v>15.2076035264502</v>
      </c>
      <c r="G100" s="1">
        <v>1.5696285117069499</v>
      </c>
      <c r="H100" s="1">
        <v>20.015024764047698</v>
      </c>
      <c r="I100" s="1">
        <v>26.154243913868399</v>
      </c>
      <c r="J100" s="1">
        <v>13.358568412067999</v>
      </c>
    </row>
    <row r="101" spans="1:10">
      <c r="A101" s="1">
        <v>2480</v>
      </c>
      <c r="B101" s="1">
        <v>223.686713054477</v>
      </c>
      <c r="C101" s="1">
        <v>9.2649982602530503E-2</v>
      </c>
      <c r="D101" s="1">
        <v>0.84448559352328201</v>
      </c>
      <c r="E101" s="1">
        <f t="shared" si="1"/>
        <v>55.429602468376579</v>
      </c>
      <c r="F101" s="1">
        <v>13.237729325851401</v>
      </c>
      <c r="G101" s="1">
        <v>2.8796666113224298</v>
      </c>
      <c r="H101" s="1">
        <v>15.8332373322969</v>
      </c>
      <c r="I101" s="1">
        <v>15.273227643889101</v>
      </c>
      <c r="J101" s="1">
        <v>8.2057415550167505</v>
      </c>
    </row>
    <row r="102" spans="1:10">
      <c r="A102" s="1">
        <v>2490</v>
      </c>
      <c r="B102" s="1">
        <v>217.73533557734501</v>
      </c>
      <c r="C102" s="1">
        <v>0.141310236344242</v>
      </c>
      <c r="D102" s="1">
        <v>0.88170741965741795</v>
      </c>
      <c r="E102" s="1">
        <f t="shared" si="1"/>
        <v>63.860653505855801</v>
      </c>
      <c r="F102" s="1">
        <v>20.367382881394601</v>
      </c>
      <c r="G102" s="1">
        <v>3.1019123079408999</v>
      </c>
      <c r="H102" s="1">
        <v>12.010081817535999</v>
      </c>
      <c r="I102" s="1">
        <v>14.3824231894453</v>
      </c>
      <c r="J102" s="1">
        <v>13.998853309538999</v>
      </c>
    </row>
    <row r="103" spans="1:10">
      <c r="A103" s="1">
        <v>2542</v>
      </c>
      <c r="B103" s="1">
        <v>236.604911854639</v>
      </c>
      <c r="C103" s="1">
        <v>9.5762667289346598E-2</v>
      </c>
      <c r="D103" s="1">
        <v>0.83133952114332699</v>
      </c>
      <c r="E103" s="1">
        <f t="shared" si="1"/>
        <v>44.593997865334984</v>
      </c>
      <c r="F103" s="1">
        <v>4.8391365064084697</v>
      </c>
      <c r="G103" s="1">
        <v>1.5595852684290199</v>
      </c>
      <c r="H103" s="1">
        <v>12.2029726669347</v>
      </c>
      <c r="I103" s="1">
        <v>11.490372719862499</v>
      </c>
      <c r="J103" s="1">
        <v>14.5019307037003</v>
      </c>
    </row>
    <row r="104" spans="1:10">
      <c r="A104" s="1">
        <v>2653</v>
      </c>
      <c r="B104" s="1">
        <v>222.53141874740999</v>
      </c>
      <c r="C104" s="1">
        <v>9.3959412868777695E-2</v>
      </c>
      <c r="D104" s="1">
        <v>0.84647356154618303</v>
      </c>
      <c r="E104" s="1">
        <f t="shared" si="1"/>
        <v>67.066170332851414</v>
      </c>
      <c r="F104" s="1">
        <v>15.778883116035299</v>
      </c>
      <c r="G104" s="1">
        <v>3.0359160007750998</v>
      </c>
      <c r="H104" s="1">
        <v>17.991392887088299</v>
      </c>
      <c r="I104" s="1">
        <v>20.257476565479902</v>
      </c>
      <c r="J104" s="1">
        <v>10.0025017634728</v>
      </c>
    </row>
    <row r="105" spans="1:10">
      <c r="A105" s="1">
        <v>2674</v>
      </c>
      <c r="B105" s="1">
        <v>235.95910247677699</v>
      </c>
      <c r="C105" s="1">
        <v>0.12485572050093301</v>
      </c>
      <c r="D105" s="1">
        <v>0.78938595820659696</v>
      </c>
      <c r="E105" s="1">
        <f t="shared" si="1"/>
        <v>79.58004173286669</v>
      </c>
      <c r="F105" s="1">
        <v>20.511363817769698</v>
      </c>
      <c r="G105" s="1">
        <v>6.1339088702505897</v>
      </c>
      <c r="H105" s="1">
        <v>18.898405990159699</v>
      </c>
      <c r="I105" s="1">
        <v>22.040898037313401</v>
      </c>
      <c r="J105" s="1">
        <v>11.9954650173733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Cristobal Torrealba</dc:creator>
  <cp:lastModifiedBy>CRISTÓBAL LUIS TORREALBA VÁSQUEZ</cp:lastModifiedBy>
  <dcterms:created xsi:type="dcterms:W3CDTF">2022-02-09T23:45:17Z</dcterms:created>
  <dcterms:modified xsi:type="dcterms:W3CDTF">2023-10-23T16:11:46Z</dcterms:modified>
</cp:coreProperties>
</file>