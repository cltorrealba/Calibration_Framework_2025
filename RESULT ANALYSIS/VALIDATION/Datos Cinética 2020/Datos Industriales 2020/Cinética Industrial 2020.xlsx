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Industriales 2020\"/>
    </mc:Choice>
  </mc:AlternateContent>
  <xr:revisionPtr revIDLastSave="0" documentId="13_ncr:1_{2699026F-8090-4C12-B088-162C4A299EA3}" xr6:coauthVersionLast="44" xr6:coauthVersionMax="44" xr10:uidLastSave="{00000000-0000-0000-0000-000000000000}"/>
  <bookViews>
    <workbookView xWindow="-120" yWindow="-120" windowWidth="29040" windowHeight="15840" activeTab="3" xr2:uid="{E59C3213-27FD-405B-A267-06D8CE65F67E}"/>
  </bookViews>
  <sheets>
    <sheet name="CIN-29-01" sheetId="5" r:id="rId1"/>
    <sheet name="CIN-29-02" sheetId="6" r:id="rId2"/>
    <sheet name="CIN-30-01" sheetId="1" r:id="rId3"/>
    <sheet name="CIN-30-02" sheetId="7" r:id="rId4"/>
    <sheet name="CIN-53-01" sheetId="4" r:id="rId5"/>
    <sheet name="CIN-53-02" sheetId="8" r:id="rId6"/>
    <sheet name="CIN-53-03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" i="6" l="1"/>
  <c r="L5" i="6"/>
  <c r="E5" i="6"/>
  <c r="M5" i="5"/>
  <c r="L5" i="5"/>
  <c r="E10" i="5"/>
  <c r="E6" i="5"/>
  <c r="E5" i="5"/>
  <c r="E7" i="8" l="1"/>
  <c r="E6" i="8"/>
  <c r="L2" i="8" l="1"/>
  <c r="E3" i="8"/>
  <c r="L3" i="8"/>
  <c r="E4" i="8"/>
  <c r="L4" i="8"/>
  <c r="E5" i="8"/>
  <c r="L5" i="8"/>
  <c r="E8" i="8"/>
  <c r="E9" i="8" s="1"/>
  <c r="L6" i="8"/>
  <c r="L7" i="8"/>
  <c r="L8" i="8"/>
  <c r="L9" i="8"/>
  <c r="L9" i="9"/>
  <c r="L8" i="9"/>
  <c r="L7" i="9"/>
  <c r="L6" i="9"/>
  <c r="L5" i="9"/>
  <c r="L4" i="9"/>
  <c r="L3" i="9"/>
  <c r="E3" i="9"/>
  <c r="E4" i="9" s="1"/>
  <c r="E5" i="9" s="1"/>
  <c r="E6" i="9" s="1"/>
  <c r="E7" i="9" s="1"/>
  <c r="E8" i="9" s="1"/>
  <c r="E9" i="9" s="1"/>
  <c r="L2" i="9"/>
  <c r="E2" i="9"/>
  <c r="L9" i="7"/>
  <c r="L8" i="7"/>
  <c r="L7" i="7"/>
  <c r="L6" i="7"/>
  <c r="L5" i="7"/>
  <c r="L4" i="7"/>
  <c r="L3" i="7"/>
  <c r="E3" i="7"/>
  <c r="E4" i="7" s="1"/>
  <c r="E5" i="7" s="1"/>
  <c r="E6" i="7" s="1"/>
  <c r="E7" i="7" s="1"/>
  <c r="E8" i="7" s="1"/>
  <c r="E9" i="7" s="1"/>
  <c r="L2" i="7"/>
  <c r="L10" i="6"/>
  <c r="L9" i="6"/>
  <c r="L8" i="6"/>
  <c r="L7" i="6"/>
  <c r="L6" i="6"/>
  <c r="L4" i="6"/>
  <c r="L3" i="6"/>
  <c r="E3" i="6"/>
  <c r="E4" i="6" s="1"/>
  <c r="E6" i="6" s="1"/>
  <c r="L2" i="6"/>
  <c r="E2" i="6"/>
  <c r="E3" i="5"/>
  <c r="E4" i="5" s="1"/>
  <c r="E7" i="5" s="1"/>
  <c r="E8" i="5" s="1"/>
  <c r="E9" i="5" s="1"/>
  <c r="E7" i="6" l="1"/>
  <c r="E8" i="6"/>
  <c r="E9" i="6" s="1"/>
  <c r="E10" i="6" s="1"/>
  <c r="L9" i="4" l="1"/>
  <c r="L8" i="4"/>
  <c r="L7" i="4"/>
  <c r="L6" i="4"/>
  <c r="L5" i="4"/>
  <c r="L4" i="4"/>
  <c r="L3" i="4"/>
  <c r="L2" i="4"/>
  <c r="L9" i="1"/>
  <c r="L8" i="1"/>
  <c r="L7" i="1"/>
  <c r="L6" i="1"/>
  <c r="L5" i="1"/>
  <c r="L4" i="1"/>
  <c r="L3" i="1"/>
  <c r="L2" i="1"/>
  <c r="L10" i="5"/>
  <c r="L4" i="5"/>
  <c r="L6" i="5"/>
  <c r="L7" i="5"/>
  <c r="L8" i="5"/>
  <c r="L9" i="5"/>
  <c r="L3" i="5"/>
  <c r="L2" i="5"/>
</calcChain>
</file>

<file path=xl/sharedStrings.xml><?xml version="1.0" encoding="utf-8"?>
<sst xmlns="http://schemas.openxmlformats.org/spreadsheetml/2006/main" count="162" uniqueCount="73">
  <si>
    <t>Código de muestra</t>
  </si>
  <si>
    <t>Fecha</t>
  </si>
  <si>
    <t>Hora</t>
  </si>
  <si>
    <t>CIN-30-01-01</t>
  </si>
  <si>
    <t>CIN-30-01-02</t>
  </si>
  <si>
    <t>CIN-30-01-03</t>
  </si>
  <si>
    <t>CIN-30-01-04</t>
  </si>
  <si>
    <t>CIN-30-01-05</t>
  </si>
  <si>
    <t>CIN-30-01-06</t>
  </si>
  <si>
    <t>CIN-30-01-07</t>
  </si>
  <si>
    <t>CIN-30-01-08</t>
  </si>
  <si>
    <t>CIN-30-02-01</t>
  </si>
  <si>
    <t>CIN-30-02-02</t>
  </si>
  <si>
    <t>CIN-30-02-03</t>
  </si>
  <si>
    <t>CIN-30-02-04</t>
  </si>
  <si>
    <t>CIN-30-02-05</t>
  </si>
  <si>
    <t>CIN-30-02-06</t>
  </si>
  <si>
    <t>CIN-30-02-07</t>
  </si>
  <si>
    <t>CIN-30-02-08</t>
  </si>
  <si>
    <t>Densidad Laboratorio</t>
  </si>
  <si>
    <t>Brix Laboratorio</t>
  </si>
  <si>
    <t>CIN-53-01-01</t>
  </si>
  <si>
    <t>CIN-53-01-02</t>
  </si>
  <si>
    <t>CIN-53-01-03</t>
  </si>
  <si>
    <t>CIN-53-01-04</t>
  </si>
  <si>
    <t>CIN-53-01-05</t>
  </si>
  <si>
    <t>CIN-53-01-06</t>
  </si>
  <si>
    <t>CIN-53-01-07</t>
  </si>
  <si>
    <t>CIN-53-01-08</t>
  </si>
  <si>
    <t>CIN-53-02-01</t>
  </si>
  <si>
    <t>CIN-53-02-02</t>
  </si>
  <si>
    <t>CIN-53-02-03</t>
  </si>
  <si>
    <t>CIN-53-02-04</t>
  </si>
  <si>
    <t>CIN-53-02-05</t>
  </si>
  <si>
    <t>CIN-53-02-06</t>
  </si>
  <si>
    <t>CIN-53-02-07</t>
  </si>
  <si>
    <t>CIN-53-02-08</t>
  </si>
  <si>
    <t>CIN-29-01-01</t>
  </si>
  <si>
    <t>CIN-29-01-02</t>
  </si>
  <si>
    <t>CIN-29-01-03</t>
  </si>
  <si>
    <t>CIN-29-01-04</t>
  </si>
  <si>
    <t>CIN-29-01-05</t>
  </si>
  <si>
    <t>CIN-29-01-06</t>
  </si>
  <si>
    <t>CIN-29-01-07</t>
  </si>
  <si>
    <t>CIN-29-01-08</t>
  </si>
  <si>
    <t>CIN-29-02-01</t>
  </si>
  <si>
    <t>CIN-29-02-02</t>
  </si>
  <si>
    <t>CIN-29-02-03</t>
  </si>
  <si>
    <t>CIN-29-02-04</t>
  </si>
  <si>
    <t>CIN-29-02-05</t>
  </si>
  <si>
    <t>CIN-29-02-06</t>
  </si>
  <si>
    <t>CIN-29-02-07</t>
  </si>
  <si>
    <t>CIN-29-02-08</t>
  </si>
  <si>
    <t>CIN-53-03-01</t>
  </si>
  <si>
    <t>CIN-53-03-02</t>
  </si>
  <si>
    <t>CIN-53-03-03</t>
  </si>
  <si>
    <t>CIN-53-03-04</t>
  </si>
  <si>
    <t>CIN-53-03-05</t>
  </si>
  <si>
    <t>CIN-53-03-06</t>
  </si>
  <si>
    <t>CIN-53-03-07</t>
  </si>
  <si>
    <t>CIN-53-03-08</t>
  </si>
  <si>
    <t>Densidad Manual</t>
  </si>
  <si>
    <t>Densidad Winegrid</t>
  </si>
  <si>
    <t>Azucar Total (g/L)</t>
  </si>
  <si>
    <t>Glucosa (g/L)</t>
  </si>
  <si>
    <t>YAN (mg/L)</t>
  </si>
  <si>
    <t>Fructosa (g/L)</t>
  </si>
  <si>
    <t>Antocianinas (mg/L)</t>
  </si>
  <si>
    <t>Polifenoles (mg/L)</t>
  </si>
  <si>
    <t>Time (min)</t>
  </si>
  <si>
    <t>CIN-29-01-FDA</t>
  </si>
  <si>
    <t>NaN</t>
  </si>
  <si>
    <t>CIN-29-02-FDA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</si>
</sst>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:ss\ AM/PM;@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20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20" fontId="3" fillId="0" borderId="15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3" fillId="0" borderId="15" xfId="0" applyNumberFormat="1" applyFont="1" applyBorder="1" applyAlignment="1">
      <alignment horizontal="center" vertical="center" wrapText="1"/>
    </xf>
    <xf numFmtId="2" fontId="3" fillId="2" borderId="7" xfId="0" applyNumberFormat="1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20" fontId="3" fillId="2" borderId="7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164" fontId="3" fillId="3" borderId="7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1" fontId="5" fillId="0" borderId="19" xfId="0" applyNumberFormat="1" applyFont="1" applyFill="1" applyBorder="1" applyAlignment="1">
      <alignment horizontal="center" vertical="center"/>
    </xf>
    <xf numFmtId="164" fontId="1" fillId="0" borderId="17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 wrapText="1"/>
    </xf>
    <xf numFmtId="165" fontId="1" fillId="0" borderId="18" xfId="0" applyNumberFormat="1" applyFont="1" applyFill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2" fontId="3" fillId="3" borderId="1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  <xf numFmtId="20" fontId="3" fillId="2" borderId="11" xfId="0" applyNumberFormat="1" applyFont="1" applyFill="1" applyBorder="1" applyAlignment="1">
      <alignment horizontal="center" vertical="center" wrapText="1"/>
    </xf>
    <xf numFmtId="1" fontId="3" fillId="2" borderId="11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165" fontId="3" fillId="2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55B-764A-4AB5-BEE0-BEF42EFB3B79}">
  <dimension ref="A1:O11"/>
  <sheetViews>
    <sheetView zoomScaleNormal="100" workbookViewId="0">
      <selection activeCell="B43" sqref="B43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4" width="11.5703125" style="1"/>
    <col min="5" max="5" width="11.5703125" style="38"/>
    <col min="6" max="9" width="11.5703125" style="1"/>
    <col min="10" max="10" width="19" style="1" customWidth="1"/>
    <col min="11" max="11" width="16" style="1" customWidth="1"/>
    <col min="12" max="12" width="18.28515625" style="1" customWidth="1"/>
    <col min="13" max="13" width="14.85546875" style="1" customWidth="1"/>
    <col min="14" max="14" width="19" style="1" customWidth="1"/>
    <col min="15" max="15" width="20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1</v>
      </c>
      <c r="B2" s="2" t="s">
        <v>37</v>
      </c>
      <c r="C2" s="3">
        <v>43910.041666666664</v>
      </c>
      <c r="D2" s="4">
        <v>4.1666666666666664E-2</v>
      </c>
      <c r="E2" s="35">
        <v>0</v>
      </c>
      <c r="F2" s="24">
        <v>1100</v>
      </c>
      <c r="G2" s="12">
        <v>1114</v>
      </c>
      <c r="H2" s="12">
        <v>1099.4000000000001</v>
      </c>
      <c r="I2" s="13">
        <v>24.1</v>
      </c>
      <c r="J2" s="18">
        <v>228.39</v>
      </c>
      <c r="K2" s="18">
        <v>117.14</v>
      </c>
      <c r="L2" s="18">
        <f>J2-K2</f>
        <v>111.24999999999999</v>
      </c>
      <c r="M2" s="18">
        <v>135</v>
      </c>
      <c r="N2" s="18">
        <v>369</v>
      </c>
      <c r="O2" s="19">
        <v>1024</v>
      </c>
    </row>
    <row r="3" spans="1:15" s="11" customFormat="1" x14ac:dyDescent="0.25">
      <c r="A3" s="52"/>
      <c r="B3" s="5" t="s">
        <v>38</v>
      </c>
      <c r="C3" s="6">
        <v>43910.708333333336</v>
      </c>
      <c r="D3" s="7">
        <v>0.70833333333333337</v>
      </c>
      <c r="E3" s="36">
        <f>16*60</f>
        <v>960</v>
      </c>
      <c r="F3" s="25">
        <v>1082</v>
      </c>
      <c r="G3" s="14">
        <v>1094</v>
      </c>
      <c r="H3" s="14">
        <v>1078.4000000000001</v>
      </c>
      <c r="I3" s="15">
        <v>19.7</v>
      </c>
      <c r="J3" s="20">
        <v>186.45</v>
      </c>
      <c r="K3" s="20">
        <v>86.47</v>
      </c>
      <c r="L3" s="20">
        <f>J3-K3</f>
        <v>99.97999999999999</v>
      </c>
      <c r="M3" s="20">
        <v>50</v>
      </c>
      <c r="N3" s="20">
        <v>341</v>
      </c>
      <c r="O3" s="21">
        <v>1005</v>
      </c>
    </row>
    <row r="4" spans="1:15" s="11" customFormat="1" x14ac:dyDescent="0.25">
      <c r="A4" s="52"/>
      <c r="B4" s="5" t="s">
        <v>39</v>
      </c>
      <c r="C4" s="6">
        <v>43911.083333333336</v>
      </c>
      <c r="D4" s="7">
        <v>8.3333333333333329E-2</v>
      </c>
      <c r="E4" s="36">
        <f>(24-17)*60+2*60+E3</f>
        <v>1500</v>
      </c>
      <c r="F4" s="25">
        <v>1072</v>
      </c>
      <c r="G4" s="14">
        <v>1090</v>
      </c>
      <c r="H4" s="14">
        <v>1071.8</v>
      </c>
      <c r="I4" s="15">
        <v>18.3</v>
      </c>
      <c r="J4" s="20">
        <v>167.71</v>
      </c>
      <c r="K4" s="20">
        <v>75.069999999999993</v>
      </c>
      <c r="L4" s="20">
        <f t="shared" ref="L4:L9" si="0">J4-K4</f>
        <v>92.640000000000015</v>
      </c>
      <c r="M4" s="20">
        <v>49</v>
      </c>
      <c r="N4" s="20">
        <v>350</v>
      </c>
      <c r="O4" s="21">
        <v>1053</v>
      </c>
    </row>
    <row r="5" spans="1:15" s="11" customFormat="1" x14ac:dyDescent="0.25">
      <c r="A5" s="52"/>
      <c r="B5" s="61" t="s">
        <v>70</v>
      </c>
      <c r="C5" s="62">
        <v>43911.083333333336</v>
      </c>
      <c r="D5" s="63">
        <v>0.125</v>
      </c>
      <c r="E5" s="64">
        <f>E4+60</f>
        <v>1560</v>
      </c>
      <c r="F5" s="65">
        <v>1070</v>
      </c>
      <c r="G5" s="66" t="s">
        <v>71</v>
      </c>
      <c r="H5" s="66" t="s">
        <v>71</v>
      </c>
      <c r="I5" s="67" t="s">
        <v>71</v>
      </c>
      <c r="J5" s="59">
        <v>167.71</v>
      </c>
      <c r="K5" s="59">
        <v>75.069999999999993</v>
      </c>
      <c r="L5" s="59">
        <f t="shared" ref="L5" si="1">J5-K5</f>
        <v>92.640000000000015</v>
      </c>
      <c r="M5" s="59">
        <f xml:space="preserve"> 49 + 0.21*(12*1000000/71000)</f>
        <v>84.492957746478879</v>
      </c>
      <c r="N5" s="59">
        <v>350</v>
      </c>
      <c r="O5" s="68">
        <v>1053</v>
      </c>
    </row>
    <row r="6" spans="1:15" s="11" customFormat="1" x14ac:dyDescent="0.25">
      <c r="A6" s="52"/>
      <c r="B6" s="5" t="s">
        <v>40</v>
      </c>
      <c r="C6" s="6">
        <v>43911.958333333336</v>
      </c>
      <c r="D6" s="7">
        <v>0.95833333333333337</v>
      </c>
      <c r="E6" s="36">
        <f>21*60+E5</f>
        <v>2820</v>
      </c>
      <c r="F6" s="25">
        <v>1056</v>
      </c>
      <c r="G6" s="14">
        <v>1077</v>
      </c>
      <c r="H6" s="14">
        <v>1056.2</v>
      </c>
      <c r="I6" s="15">
        <v>14.5</v>
      </c>
      <c r="J6" s="20">
        <v>130.02000000000001</v>
      </c>
      <c r="K6" s="20">
        <v>51.82</v>
      </c>
      <c r="L6" s="20">
        <f t="shared" si="0"/>
        <v>78.200000000000017</v>
      </c>
      <c r="M6" s="60">
        <v>61</v>
      </c>
      <c r="N6" s="20">
        <v>449</v>
      </c>
      <c r="O6" s="21">
        <v>1536</v>
      </c>
    </row>
    <row r="7" spans="1:15" s="11" customFormat="1" x14ac:dyDescent="0.25">
      <c r="A7" s="52"/>
      <c r="B7" s="5" t="s">
        <v>41</v>
      </c>
      <c r="C7" s="6">
        <v>43912.083333333336</v>
      </c>
      <c r="D7" s="7">
        <v>8.3333333333333329E-2</v>
      </c>
      <c r="E7" s="36">
        <f>60+2*60+E6</f>
        <v>3000</v>
      </c>
      <c r="F7" s="25">
        <v>1053</v>
      </c>
      <c r="G7" s="14">
        <v>1077</v>
      </c>
      <c r="H7" s="14">
        <v>1055.0999999999999</v>
      </c>
      <c r="I7" s="15">
        <v>14.2</v>
      </c>
      <c r="J7" s="20">
        <v>134.24</v>
      </c>
      <c r="K7" s="20">
        <v>53.81</v>
      </c>
      <c r="L7" s="20">
        <f t="shared" si="0"/>
        <v>80.430000000000007</v>
      </c>
      <c r="M7" s="20">
        <v>59</v>
      </c>
      <c r="N7" s="20">
        <v>452</v>
      </c>
      <c r="O7" s="21">
        <v>1338</v>
      </c>
    </row>
    <row r="8" spans="1:15" s="11" customFormat="1" x14ac:dyDescent="0.25">
      <c r="A8" s="52"/>
      <c r="B8" s="5" t="s">
        <v>42</v>
      </c>
      <c r="C8" s="6">
        <v>43913.166666666664</v>
      </c>
      <c r="D8" s="7">
        <v>0.16666666666666666</v>
      </c>
      <c r="E8" s="36">
        <f>2*60+E7</f>
        <v>3120</v>
      </c>
      <c r="F8" s="25">
        <v>1045</v>
      </c>
      <c r="G8" s="14">
        <v>1077</v>
      </c>
      <c r="H8" s="14">
        <v>1035</v>
      </c>
      <c r="I8" s="15">
        <v>9.4</v>
      </c>
      <c r="J8" s="20">
        <v>93.93</v>
      </c>
      <c r="K8" s="20">
        <v>29.99</v>
      </c>
      <c r="L8" s="20">
        <f t="shared" si="0"/>
        <v>63.940000000000012</v>
      </c>
      <c r="M8" s="20">
        <v>56</v>
      </c>
      <c r="N8" s="20">
        <v>477</v>
      </c>
      <c r="O8" s="21">
        <v>1427</v>
      </c>
    </row>
    <row r="9" spans="1:15" s="11" customFormat="1" x14ac:dyDescent="0.25">
      <c r="A9" s="52"/>
      <c r="B9" s="5" t="s">
        <v>43</v>
      </c>
      <c r="C9" s="6">
        <v>43913.375</v>
      </c>
      <c r="D9" s="7">
        <v>0.375</v>
      </c>
      <c r="E9" s="36">
        <f>5*60+E8</f>
        <v>3420</v>
      </c>
      <c r="F9" s="25">
        <v>1036</v>
      </c>
      <c r="G9" s="14">
        <v>1047</v>
      </c>
      <c r="H9" s="14">
        <v>1032.4000000000001</v>
      </c>
      <c r="I9" s="15">
        <v>8.6999999999999993</v>
      </c>
      <c r="J9" s="20">
        <v>84.59</v>
      </c>
      <c r="K9" s="20">
        <v>26.52</v>
      </c>
      <c r="L9" s="20">
        <f t="shared" si="0"/>
        <v>58.070000000000007</v>
      </c>
      <c r="M9" s="20">
        <v>23</v>
      </c>
      <c r="N9" s="20">
        <v>486</v>
      </c>
      <c r="O9" s="21">
        <v>1485</v>
      </c>
    </row>
    <row r="10" spans="1:15" s="11" customFormat="1" ht="13.5" thickBot="1" x14ac:dyDescent="0.3">
      <c r="A10" s="53"/>
      <c r="B10" s="8" t="s">
        <v>44</v>
      </c>
      <c r="C10" s="9">
        <v>43913.791666666664</v>
      </c>
      <c r="D10" s="10">
        <v>0.79166666666666663</v>
      </c>
      <c r="E10" s="37">
        <f>10*60+E9</f>
        <v>4020</v>
      </c>
      <c r="F10" s="26">
        <v>1029</v>
      </c>
      <c r="G10" s="16">
        <v>1043</v>
      </c>
      <c r="H10" s="16">
        <v>1028</v>
      </c>
      <c r="I10" s="17">
        <v>7.6</v>
      </c>
      <c r="J10" s="22">
        <v>75</v>
      </c>
      <c r="K10" s="22">
        <v>20.96</v>
      </c>
      <c r="L10" s="22">
        <f>J10-K10</f>
        <v>54.04</v>
      </c>
      <c r="M10" s="22">
        <v>25</v>
      </c>
      <c r="N10" s="22">
        <v>506</v>
      </c>
      <c r="O10" s="23">
        <v>1532</v>
      </c>
    </row>
    <row r="11" spans="1:15" ht="13.5" thickTop="1" x14ac:dyDescent="0.25"/>
  </sheetData>
  <mergeCells count="1">
    <mergeCell ref="A2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8704-0031-48A1-9BA2-32CA47294E1E}">
  <dimension ref="A1:O11"/>
  <sheetViews>
    <sheetView zoomScaleNormal="100" workbookViewId="0">
      <selection activeCell="M18" sqref="M18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3" width="11.5703125" style="1"/>
    <col min="4" max="4" width="14.140625" style="50" customWidth="1"/>
    <col min="5" max="5" width="11.5703125" style="38"/>
    <col min="6" max="9" width="11.5703125" style="1"/>
    <col min="10" max="10" width="19" style="1" customWidth="1"/>
    <col min="11" max="11" width="16" style="1" customWidth="1"/>
    <col min="12" max="12" width="18.28515625" style="1" customWidth="1"/>
    <col min="13" max="13" width="14.85546875" style="1" customWidth="1"/>
    <col min="14" max="14" width="19" style="1" customWidth="1"/>
    <col min="15" max="15" width="20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6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2</v>
      </c>
      <c r="B2" s="2" t="s">
        <v>45</v>
      </c>
      <c r="C2" s="3">
        <v>43916.416666666664</v>
      </c>
      <c r="D2" s="47">
        <v>0.41666666666666669</v>
      </c>
      <c r="E2" s="35">
        <f>0</f>
        <v>0</v>
      </c>
      <c r="F2" s="24">
        <v>1105</v>
      </c>
      <c r="G2" s="33">
        <v>1105</v>
      </c>
      <c r="H2" s="12">
        <v>1103.2</v>
      </c>
      <c r="I2" s="13">
        <v>25</v>
      </c>
      <c r="J2" s="18">
        <v>234.76</v>
      </c>
      <c r="K2" s="18">
        <v>116.8</v>
      </c>
      <c r="L2" s="20">
        <f t="shared" ref="L2:L9" si="0">J2-K2</f>
        <v>117.96</v>
      </c>
      <c r="M2" s="18">
        <v>224</v>
      </c>
      <c r="N2" s="18">
        <v>128</v>
      </c>
      <c r="O2" s="19">
        <v>588</v>
      </c>
    </row>
    <row r="3" spans="1:15" s="11" customFormat="1" x14ac:dyDescent="0.25">
      <c r="A3" s="52"/>
      <c r="B3" s="5" t="s">
        <v>46</v>
      </c>
      <c r="C3" s="6">
        <v>43918.083333333336</v>
      </c>
      <c r="D3" s="48">
        <v>8.3333333333333329E-2</v>
      </c>
      <c r="E3" s="36">
        <f>(24-10)*60+2*60+24*60</f>
        <v>2400</v>
      </c>
      <c r="F3" s="25">
        <v>1090</v>
      </c>
      <c r="G3" s="14"/>
      <c r="H3" s="14">
        <v>1088.5999999999999</v>
      </c>
      <c r="I3" s="15">
        <v>21.8</v>
      </c>
      <c r="J3" s="20">
        <v>203.97</v>
      </c>
      <c r="K3" s="20">
        <v>100.07</v>
      </c>
      <c r="L3" s="20">
        <f t="shared" si="0"/>
        <v>103.9</v>
      </c>
      <c r="M3" s="20">
        <v>67</v>
      </c>
      <c r="N3" s="20">
        <v>201</v>
      </c>
      <c r="O3" s="21">
        <v>747</v>
      </c>
    </row>
    <row r="4" spans="1:15" s="11" customFormat="1" x14ac:dyDescent="0.25">
      <c r="A4" s="52"/>
      <c r="B4" s="5" t="s">
        <v>47</v>
      </c>
      <c r="C4" s="6">
        <v>43919.083333333336</v>
      </c>
      <c r="D4" s="48">
        <v>8.3333333333333329E-2</v>
      </c>
      <c r="E4" s="36">
        <f>24*60+E3</f>
        <v>3840</v>
      </c>
      <c r="F4" s="25">
        <v>1076</v>
      </c>
      <c r="G4" s="14">
        <v>1084</v>
      </c>
      <c r="H4" s="14">
        <v>1074</v>
      </c>
      <c r="I4" s="15">
        <v>18.5</v>
      </c>
      <c r="J4" s="20">
        <v>172.23</v>
      </c>
      <c r="K4" s="20">
        <v>77.63</v>
      </c>
      <c r="L4" s="20">
        <f t="shared" si="0"/>
        <v>94.6</v>
      </c>
      <c r="M4" s="20">
        <v>23</v>
      </c>
      <c r="N4" s="20">
        <v>247</v>
      </c>
      <c r="O4" s="21">
        <v>844</v>
      </c>
    </row>
    <row r="5" spans="1:15" s="11" customFormat="1" x14ac:dyDescent="0.25">
      <c r="A5" s="52"/>
      <c r="B5" s="61" t="s">
        <v>72</v>
      </c>
      <c r="C5" s="62">
        <v>43919.083333333336</v>
      </c>
      <c r="D5" s="69">
        <v>0.29166666666666669</v>
      </c>
      <c r="E5" s="64">
        <f>E4+5*60</f>
        <v>4140</v>
      </c>
      <c r="F5" s="65">
        <v>1070</v>
      </c>
      <c r="G5" s="66" t="s">
        <v>71</v>
      </c>
      <c r="H5" s="66" t="s">
        <v>71</v>
      </c>
      <c r="I5" s="66" t="s">
        <v>71</v>
      </c>
      <c r="J5" s="59">
        <v>172.23</v>
      </c>
      <c r="K5" s="59">
        <v>77.63</v>
      </c>
      <c r="L5" s="59">
        <f t="shared" ref="L5" si="1">J5-K5</f>
        <v>94.6</v>
      </c>
      <c r="M5" s="59">
        <f xml:space="preserve"> 23 + 0.21*(12* 1000000/61800)</f>
        <v>63.776699029126213</v>
      </c>
      <c r="N5" s="59">
        <v>247</v>
      </c>
      <c r="O5" s="68">
        <v>844</v>
      </c>
    </row>
    <row r="6" spans="1:15" s="11" customFormat="1" x14ac:dyDescent="0.25">
      <c r="A6" s="52"/>
      <c r="B6" s="5" t="s">
        <v>48</v>
      </c>
      <c r="C6" s="6">
        <v>43920.458333333336</v>
      </c>
      <c r="D6" s="48">
        <v>0.45833333333333331</v>
      </c>
      <c r="E6" s="36">
        <f>22*60+11*60+E4</f>
        <v>5820</v>
      </c>
      <c r="F6" s="25">
        <v>1055</v>
      </c>
      <c r="G6" s="14">
        <v>1065</v>
      </c>
      <c r="H6" s="14">
        <v>1051.2</v>
      </c>
      <c r="I6" s="15">
        <v>13.1</v>
      </c>
      <c r="J6" s="20">
        <v>126.24</v>
      </c>
      <c r="K6" s="20">
        <v>46.74</v>
      </c>
      <c r="L6" s="20">
        <f t="shared" si="0"/>
        <v>79.5</v>
      </c>
      <c r="M6" s="60">
        <v>22</v>
      </c>
      <c r="N6" s="20">
        <v>337</v>
      </c>
      <c r="O6" s="21">
        <v>1081</v>
      </c>
    </row>
    <row r="7" spans="1:15" s="11" customFormat="1" x14ac:dyDescent="0.25">
      <c r="A7" s="52"/>
      <c r="B7" s="5" t="s">
        <v>49</v>
      </c>
      <c r="C7" s="6">
        <v>43920.459027777775</v>
      </c>
      <c r="D7" s="48">
        <v>0.45833333333333331</v>
      </c>
      <c r="E7" s="36">
        <f>E6+1</f>
        <v>5821</v>
      </c>
      <c r="F7" s="25">
        <v>1055</v>
      </c>
      <c r="G7" s="14">
        <v>1065</v>
      </c>
      <c r="H7" s="14">
        <v>1048.4000000000001</v>
      </c>
      <c r="I7" s="15">
        <v>12.5</v>
      </c>
      <c r="J7" s="20">
        <v>115.36</v>
      </c>
      <c r="K7" s="20">
        <v>43.18</v>
      </c>
      <c r="L7" s="20">
        <f t="shared" si="0"/>
        <v>72.180000000000007</v>
      </c>
      <c r="M7" s="20">
        <v>25</v>
      </c>
      <c r="N7" s="20">
        <v>329</v>
      </c>
      <c r="O7" s="21">
        <v>1058</v>
      </c>
    </row>
    <row r="8" spans="1:15" s="11" customFormat="1" x14ac:dyDescent="0.25">
      <c r="A8" s="52"/>
      <c r="B8" s="5" t="s">
        <v>50</v>
      </c>
      <c r="C8" s="6">
        <v>43920.5</v>
      </c>
      <c r="D8" s="48">
        <v>0.5</v>
      </c>
      <c r="E8" s="36">
        <f>E6+60</f>
        <v>5880</v>
      </c>
      <c r="F8" s="25">
        <v>1052</v>
      </c>
      <c r="G8" s="14">
        <v>1062</v>
      </c>
      <c r="H8" s="14">
        <v>1049.3</v>
      </c>
      <c r="I8" s="15">
        <v>12.7</v>
      </c>
      <c r="J8" s="20">
        <v>118.09</v>
      </c>
      <c r="K8" s="20">
        <v>43.91</v>
      </c>
      <c r="L8" s="20">
        <f t="shared" si="0"/>
        <v>74.180000000000007</v>
      </c>
      <c r="M8" s="20">
        <v>23</v>
      </c>
      <c r="N8" s="20">
        <v>349</v>
      </c>
      <c r="O8" s="21">
        <v>1122</v>
      </c>
    </row>
    <row r="9" spans="1:15" s="11" customFormat="1" x14ac:dyDescent="0.25">
      <c r="A9" s="52"/>
      <c r="B9" s="5" t="s">
        <v>51</v>
      </c>
      <c r="C9" s="6">
        <v>43920.666666666664</v>
      </c>
      <c r="D9" s="48">
        <v>0.66666666666666663</v>
      </c>
      <c r="E9" s="36">
        <f>E8+4*60</f>
        <v>6120</v>
      </c>
      <c r="F9" s="25">
        <v>1045</v>
      </c>
      <c r="G9" s="14">
        <v>1072</v>
      </c>
      <c r="H9" s="14">
        <v>1041.8</v>
      </c>
      <c r="I9" s="15">
        <v>10.9</v>
      </c>
      <c r="J9" s="20">
        <v>101.72</v>
      </c>
      <c r="K9" s="20">
        <v>35.76</v>
      </c>
      <c r="L9" s="20">
        <f t="shared" si="0"/>
        <v>65.960000000000008</v>
      </c>
      <c r="M9" s="20">
        <v>27</v>
      </c>
      <c r="N9" s="20">
        <v>316</v>
      </c>
      <c r="O9" s="21">
        <v>1054</v>
      </c>
    </row>
    <row r="10" spans="1:15" s="11" customFormat="1" ht="13.5" thickBot="1" x14ac:dyDescent="0.3">
      <c r="A10" s="53"/>
      <c r="B10" s="8" t="s">
        <v>52</v>
      </c>
      <c r="C10" s="9">
        <v>43922.666666666664</v>
      </c>
      <c r="D10" s="49">
        <v>0.66666666666666663</v>
      </c>
      <c r="E10" s="37">
        <f>48*60+E9</f>
        <v>9000</v>
      </c>
      <c r="F10" s="26">
        <v>1020</v>
      </c>
      <c r="G10" s="16">
        <v>1029</v>
      </c>
      <c r="H10" s="16">
        <v>1018.6</v>
      </c>
      <c r="I10" s="17">
        <v>5.2</v>
      </c>
      <c r="J10" s="22">
        <v>52.7</v>
      </c>
      <c r="K10" s="22">
        <v>9.7899999999999991</v>
      </c>
      <c r="L10" s="22">
        <f>J10-K10</f>
        <v>42.910000000000004</v>
      </c>
      <c r="M10" s="22">
        <v>37</v>
      </c>
      <c r="N10" s="22">
        <v>377</v>
      </c>
      <c r="O10" s="23">
        <v>1240</v>
      </c>
    </row>
    <row r="11" spans="1:15" ht="13.5" thickTop="1" x14ac:dyDescent="0.25"/>
  </sheetData>
  <mergeCells count="1">
    <mergeCell ref="A2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83C3-A1BE-4422-A986-A5F6C4ECB9EB}">
  <dimension ref="A1:O10"/>
  <sheetViews>
    <sheetView zoomScale="110" zoomScaleNormal="110" workbookViewId="0">
      <selection activeCell="E23" sqref="E23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4" width="11.5703125" style="1"/>
    <col min="5" max="5" width="11.5703125" style="38"/>
    <col min="6" max="9" width="11.5703125" style="1"/>
    <col min="10" max="10" width="20.140625" style="1" customWidth="1"/>
    <col min="11" max="11" width="17.140625" style="1" customWidth="1"/>
    <col min="12" max="12" width="17.42578125" style="1" customWidth="1"/>
    <col min="13" max="13" width="11.5703125" style="1"/>
    <col min="14" max="14" width="22.85546875" style="1" customWidth="1"/>
    <col min="15" max="15" width="24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4">
        <v>1</v>
      </c>
      <c r="B2" s="29" t="s">
        <v>3</v>
      </c>
      <c r="C2" s="30">
        <v>43921.75</v>
      </c>
      <c r="D2" s="31">
        <v>0.75</v>
      </c>
      <c r="E2" s="45">
        <v>0</v>
      </c>
      <c r="F2" s="32">
        <v>1098</v>
      </c>
      <c r="G2" s="27"/>
      <c r="H2" s="27">
        <v>1019.5</v>
      </c>
      <c r="I2" s="28">
        <v>5.3</v>
      </c>
      <c r="J2" s="27">
        <v>54.07</v>
      </c>
      <c r="K2" s="27">
        <v>19.63</v>
      </c>
      <c r="L2" s="27">
        <f>J2-K2</f>
        <v>34.44</v>
      </c>
      <c r="M2" s="27">
        <v>34</v>
      </c>
      <c r="N2" s="27">
        <v>224</v>
      </c>
      <c r="O2" s="28">
        <v>849</v>
      </c>
    </row>
    <row r="3" spans="1:15" s="11" customFormat="1" x14ac:dyDescent="0.25">
      <c r="A3" s="55"/>
      <c r="B3" s="5" t="s">
        <v>4</v>
      </c>
      <c r="C3" s="6">
        <v>43923.666666666664</v>
      </c>
      <c r="D3" s="7">
        <v>0.66666666666666663</v>
      </c>
      <c r="E3" s="36">
        <v>0</v>
      </c>
      <c r="F3" s="25">
        <v>1090</v>
      </c>
      <c r="G3" s="20">
        <v>1096</v>
      </c>
      <c r="H3" s="20">
        <v>1075.5999999999999</v>
      </c>
      <c r="I3" s="21">
        <v>18.600000000000001</v>
      </c>
      <c r="J3" s="20">
        <v>168.13</v>
      </c>
      <c r="K3" s="20">
        <v>88.61</v>
      </c>
      <c r="L3" s="20">
        <f>J3-K3</f>
        <v>79.52</v>
      </c>
      <c r="M3" s="20">
        <v>69</v>
      </c>
      <c r="N3" s="20">
        <v>248</v>
      </c>
      <c r="O3" s="21">
        <v>879</v>
      </c>
    </row>
    <row r="4" spans="1:15" s="11" customFormat="1" x14ac:dyDescent="0.25">
      <c r="A4" s="55"/>
      <c r="B4" s="5" t="s">
        <v>5</v>
      </c>
      <c r="C4" s="6">
        <v>43924.666666666664</v>
      </c>
      <c r="D4" s="7">
        <v>0.66666666666666663</v>
      </c>
      <c r="E4" s="36">
        <v>0</v>
      </c>
      <c r="F4" s="25">
        <v>1072</v>
      </c>
      <c r="G4" s="20">
        <v>1079</v>
      </c>
      <c r="H4" s="20">
        <v>1044.5999999999999</v>
      </c>
      <c r="I4" s="21">
        <v>11.4</v>
      </c>
      <c r="J4" s="20">
        <v>105.73</v>
      </c>
      <c r="K4" s="20">
        <v>50.52</v>
      </c>
      <c r="L4" s="20">
        <f t="shared" ref="L4:L8" si="0">J4-K4</f>
        <v>55.21</v>
      </c>
      <c r="M4" s="20">
        <v>23</v>
      </c>
      <c r="N4" s="20">
        <v>214</v>
      </c>
      <c r="O4" s="21">
        <v>835</v>
      </c>
    </row>
    <row r="5" spans="1:15" s="11" customFormat="1" x14ac:dyDescent="0.25">
      <c r="A5" s="55"/>
      <c r="B5" s="5" t="s">
        <v>6</v>
      </c>
      <c r="C5" s="6">
        <v>43925</v>
      </c>
      <c r="D5" s="7">
        <v>0</v>
      </c>
      <c r="E5" s="36">
        <v>0</v>
      </c>
      <c r="F5" s="25">
        <v>1068</v>
      </c>
      <c r="G5" s="20">
        <v>1066</v>
      </c>
      <c r="H5" s="20">
        <v>1028</v>
      </c>
      <c r="I5" s="21">
        <v>7.4</v>
      </c>
      <c r="J5" s="20">
        <v>71.23</v>
      </c>
      <c r="K5" s="20">
        <v>31.3</v>
      </c>
      <c r="L5" s="20">
        <f t="shared" si="0"/>
        <v>39.930000000000007</v>
      </c>
      <c r="M5" s="20">
        <v>26</v>
      </c>
      <c r="N5" s="20">
        <v>213</v>
      </c>
      <c r="O5" s="21">
        <v>885</v>
      </c>
    </row>
    <row r="6" spans="1:15" s="11" customFormat="1" x14ac:dyDescent="0.25">
      <c r="A6" s="55"/>
      <c r="B6" s="5" t="s">
        <v>7</v>
      </c>
      <c r="C6" s="6">
        <v>43925.75</v>
      </c>
      <c r="D6" s="7">
        <v>0.75</v>
      </c>
      <c r="E6" s="36">
        <v>0</v>
      </c>
      <c r="F6" s="25">
        <v>1050</v>
      </c>
      <c r="G6" s="20">
        <v>1058</v>
      </c>
      <c r="H6" s="20">
        <v>1043.5</v>
      </c>
      <c r="I6" s="21">
        <v>11.1</v>
      </c>
      <c r="J6" s="20">
        <v>108.44</v>
      </c>
      <c r="K6" s="20">
        <v>45.49</v>
      </c>
      <c r="L6" s="20">
        <f t="shared" si="0"/>
        <v>62.949999999999996</v>
      </c>
      <c r="M6" s="20">
        <v>62.95</v>
      </c>
      <c r="N6" s="20">
        <v>373</v>
      </c>
      <c r="O6" s="21">
        <v>1358</v>
      </c>
    </row>
    <row r="7" spans="1:15" s="11" customFormat="1" x14ac:dyDescent="0.25">
      <c r="A7" s="55"/>
      <c r="B7" s="5" t="s">
        <v>8</v>
      </c>
      <c r="C7" s="6">
        <v>43926.041666666664</v>
      </c>
      <c r="D7" s="7">
        <v>4.1666666666666664E-2</v>
      </c>
      <c r="E7" s="36">
        <v>0</v>
      </c>
      <c r="F7" s="25">
        <v>1043</v>
      </c>
      <c r="G7" s="20">
        <v>1050</v>
      </c>
      <c r="H7" s="20">
        <v>1015.3</v>
      </c>
      <c r="I7" s="21">
        <v>4.3</v>
      </c>
      <c r="J7" s="20">
        <v>50.39</v>
      </c>
      <c r="K7" s="20">
        <v>10.98</v>
      </c>
      <c r="L7" s="20">
        <f t="shared" si="0"/>
        <v>39.409999999999997</v>
      </c>
      <c r="M7" s="20">
        <v>68</v>
      </c>
      <c r="N7" s="20">
        <v>222</v>
      </c>
      <c r="O7" s="21">
        <v>1048</v>
      </c>
    </row>
    <row r="8" spans="1:15" s="11" customFormat="1" x14ac:dyDescent="0.25">
      <c r="A8" s="55"/>
      <c r="B8" s="5" t="s">
        <v>9</v>
      </c>
      <c r="C8" s="6">
        <v>43926.333333333336</v>
      </c>
      <c r="D8" s="7">
        <v>0.33333333333333331</v>
      </c>
      <c r="E8" s="36">
        <v>0</v>
      </c>
      <c r="F8" s="25">
        <v>1035</v>
      </c>
      <c r="G8" s="20">
        <v>1040</v>
      </c>
      <c r="H8" s="20">
        <v>1013.2</v>
      </c>
      <c r="I8" s="21">
        <v>3.7</v>
      </c>
      <c r="J8" s="20">
        <v>39.24</v>
      </c>
      <c r="K8" s="20">
        <v>13.54</v>
      </c>
      <c r="L8" s="20">
        <f t="shared" si="0"/>
        <v>25.700000000000003</v>
      </c>
      <c r="M8" s="20">
        <v>20</v>
      </c>
      <c r="N8" s="20">
        <v>196</v>
      </c>
      <c r="O8" s="21">
        <v>897</v>
      </c>
    </row>
    <row r="9" spans="1:15" s="11" customFormat="1" ht="13.5" thickBot="1" x14ac:dyDescent="0.3">
      <c r="A9" s="56"/>
      <c r="B9" s="8" t="s">
        <v>10</v>
      </c>
      <c r="C9" s="9">
        <v>43926.5</v>
      </c>
      <c r="D9" s="10">
        <v>0.5</v>
      </c>
      <c r="E9" s="37">
        <v>0</v>
      </c>
      <c r="F9" s="26">
        <v>1035</v>
      </c>
      <c r="G9" s="22">
        <v>1040</v>
      </c>
      <c r="H9" s="22">
        <v>1014.5</v>
      </c>
      <c r="I9" s="23">
        <v>4</v>
      </c>
      <c r="J9" s="22">
        <v>48.99</v>
      </c>
      <c r="K9" s="22">
        <v>10.4</v>
      </c>
      <c r="L9" s="22">
        <f>J9-K9</f>
        <v>38.590000000000003</v>
      </c>
      <c r="M9" s="22">
        <v>65</v>
      </c>
      <c r="N9" s="22">
        <v>208</v>
      </c>
      <c r="O9" s="23">
        <v>978</v>
      </c>
    </row>
    <row r="10" spans="1:15" ht="13.5" thickTop="1" x14ac:dyDescent="0.25"/>
  </sheetData>
  <mergeCells count="1">
    <mergeCell ref="A2:A9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CE34-8224-4867-9C74-76E2C726E4F1}">
  <dimension ref="A1:O10"/>
  <sheetViews>
    <sheetView tabSelected="1" zoomScale="110" zoomScaleNormal="110" workbookViewId="0">
      <selection activeCell="B5" sqref="B5:O5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4" width="11.5703125" style="1"/>
    <col min="5" max="5" width="11.5703125" style="38"/>
    <col min="6" max="9" width="11.5703125" style="1"/>
    <col min="10" max="10" width="20.140625" style="1" customWidth="1"/>
    <col min="11" max="11" width="17.140625" style="1" customWidth="1"/>
    <col min="12" max="12" width="17.42578125" style="1" customWidth="1"/>
    <col min="13" max="13" width="11.5703125" style="1"/>
    <col min="14" max="14" width="22.85546875" style="1" customWidth="1"/>
    <col min="15" max="15" width="24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2</v>
      </c>
      <c r="B2" s="2" t="s">
        <v>11</v>
      </c>
      <c r="C2" s="3">
        <v>43913.368055555555</v>
      </c>
      <c r="D2" s="4">
        <v>0.36805555555555558</v>
      </c>
      <c r="E2" s="35">
        <v>0</v>
      </c>
      <c r="F2" s="24">
        <v>1100</v>
      </c>
      <c r="G2" s="18">
        <v>1101</v>
      </c>
      <c r="H2" s="18">
        <v>1108.0999999999999</v>
      </c>
      <c r="I2" s="19">
        <v>25.8</v>
      </c>
      <c r="J2" s="18">
        <v>240.63</v>
      </c>
      <c r="K2" s="18">
        <v>121.38</v>
      </c>
      <c r="L2" s="18">
        <f t="shared" ref="L2:L8" si="0">J2-K2</f>
        <v>119.25</v>
      </c>
      <c r="M2" s="18">
        <v>143</v>
      </c>
      <c r="N2" s="18">
        <v>127</v>
      </c>
      <c r="O2" s="19">
        <v>709</v>
      </c>
    </row>
    <row r="3" spans="1:15" s="11" customFormat="1" x14ac:dyDescent="0.25">
      <c r="A3" s="52"/>
      <c r="B3" s="5" t="s">
        <v>12</v>
      </c>
      <c r="C3" s="6">
        <v>43914.6875</v>
      </c>
      <c r="D3" s="7">
        <v>0.6875</v>
      </c>
      <c r="E3" s="36">
        <f>10+(24-9)*60+16*60+30</f>
        <v>1900</v>
      </c>
      <c r="F3" s="25">
        <v>1088</v>
      </c>
      <c r="G3" s="20">
        <v>1107</v>
      </c>
      <c r="H3" s="20">
        <v>1093.3</v>
      </c>
      <c r="I3" s="21">
        <v>22.6</v>
      </c>
      <c r="J3" s="20">
        <v>210.78</v>
      </c>
      <c r="K3" s="20">
        <v>105.85</v>
      </c>
      <c r="L3" s="20">
        <f t="shared" si="0"/>
        <v>104.93</v>
      </c>
      <c r="M3" s="20">
        <v>126</v>
      </c>
      <c r="N3" s="20">
        <v>167</v>
      </c>
      <c r="O3" s="21">
        <v>690</v>
      </c>
    </row>
    <row r="4" spans="1:15" s="11" customFormat="1" x14ac:dyDescent="0.25">
      <c r="A4" s="52"/>
      <c r="B4" s="5" t="s">
        <v>13</v>
      </c>
      <c r="C4" s="6">
        <v>43977.208333333336</v>
      </c>
      <c r="D4" s="7">
        <v>0.20833333333333334</v>
      </c>
      <c r="E4" s="36">
        <f>30+(24-17)*60+5*60+E3</f>
        <v>2650</v>
      </c>
      <c r="F4" s="25">
        <v>1077</v>
      </c>
      <c r="G4" s="20">
        <v>1087</v>
      </c>
      <c r="H4" s="20">
        <v>1063.5999999999999</v>
      </c>
      <c r="I4" s="21">
        <v>15.9</v>
      </c>
      <c r="J4" s="20">
        <v>154.43</v>
      </c>
      <c r="K4" s="20">
        <v>64.55</v>
      </c>
      <c r="L4" s="20">
        <f t="shared" si="0"/>
        <v>89.88000000000001</v>
      </c>
      <c r="M4" s="20">
        <v>60</v>
      </c>
      <c r="N4" s="20">
        <v>236</v>
      </c>
      <c r="O4" s="21">
        <v>739</v>
      </c>
    </row>
    <row r="5" spans="1:15" s="11" customFormat="1" x14ac:dyDescent="0.25">
      <c r="A5" s="52"/>
      <c r="B5" s="5" t="s">
        <v>14</v>
      </c>
      <c r="C5" s="6">
        <v>43917.375</v>
      </c>
      <c r="D5" s="7">
        <v>0.375</v>
      </c>
      <c r="E5" s="36">
        <f>(24-5)*60+9*60+E4</f>
        <v>4330</v>
      </c>
      <c r="F5" s="25">
        <v>1059</v>
      </c>
      <c r="G5" s="20">
        <v>1064</v>
      </c>
      <c r="H5" s="20">
        <v>1041.0999999999999</v>
      </c>
      <c r="I5" s="21">
        <v>10.5</v>
      </c>
      <c r="J5" s="20">
        <v>79.489999999999995</v>
      </c>
      <c r="K5" s="20">
        <v>29.69</v>
      </c>
      <c r="L5" s="20">
        <f t="shared" si="0"/>
        <v>49.8</v>
      </c>
      <c r="M5" s="20">
        <v>60</v>
      </c>
      <c r="N5" s="20">
        <v>177</v>
      </c>
      <c r="O5" s="21">
        <v>646</v>
      </c>
    </row>
    <row r="6" spans="1:15" s="11" customFormat="1" x14ac:dyDescent="0.25">
      <c r="A6" s="52"/>
      <c r="B6" s="5" t="s">
        <v>15</v>
      </c>
      <c r="C6" s="6">
        <v>43917.375694444447</v>
      </c>
      <c r="D6" s="7">
        <v>0.375</v>
      </c>
      <c r="E6" s="36">
        <f>E5+1</f>
        <v>4331</v>
      </c>
      <c r="F6" s="25">
        <v>1059</v>
      </c>
      <c r="G6" s="20">
        <v>1065</v>
      </c>
      <c r="H6" s="20">
        <v>1041</v>
      </c>
      <c r="I6" s="21">
        <v>10.5</v>
      </c>
      <c r="J6" s="20">
        <v>97.67</v>
      </c>
      <c r="K6" s="20">
        <v>36.69</v>
      </c>
      <c r="L6" s="20">
        <f t="shared" si="0"/>
        <v>60.980000000000004</v>
      </c>
      <c r="M6" s="20">
        <v>61</v>
      </c>
      <c r="N6" s="20">
        <v>225</v>
      </c>
      <c r="O6" s="21">
        <v>807</v>
      </c>
    </row>
    <row r="7" spans="1:15" s="11" customFormat="1" x14ac:dyDescent="0.25">
      <c r="A7" s="52"/>
      <c r="B7" s="5" t="s">
        <v>16</v>
      </c>
      <c r="C7" s="6">
        <v>43917.625</v>
      </c>
      <c r="D7" s="7">
        <v>0.625</v>
      </c>
      <c r="E7" s="36">
        <f>6*60+E6</f>
        <v>4691</v>
      </c>
      <c r="F7" s="25">
        <v>1053</v>
      </c>
      <c r="G7" s="20">
        <v>1059</v>
      </c>
      <c r="H7" s="20">
        <v>1040.8</v>
      </c>
      <c r="I7" s="21">
        <v>10.5</v>
      </c>
      <c r="J7" s="20">
        <v>100.44</v>
      </c>
      <c r="K7" s="20">
        <v>36.29</v>
      </c>
      <c r="L7" s="20">
        <f t="shared" si="0"/>
        <v>64.150000000000006</v>
      </c>
      <c r="M7" s="20">
        <v>65</v>
      </c>
      <c r="N7" s="20">
        <v>264</v>
      </c>
      <c r="O7" s="21">
        <v>898</v>
      </c>
    </row>
    <row r="8" spans="1:15" s="11" customFormat="1" x14ac:dyDescent="0.25">
      <c r="A8" s="52"/>
      <c r="B8" s="5" t="s">
        <v>17</v>
      </c>
      <c r="C8" s="6">
        <v>43918.083333333336</v>
      </c>
      <c r="D8" s="7">
        <v>8.3333333333333329E-2</v>
      </c>
      <c r="E8" s="36">
        <f>(24-15)*60+2*60+E7</f>
        <v>5351</v>
      </c>
      <c r="F8" s="25">
        <v>1044</v>
      </c>
      <c r="G8" s="20"/>
      <c r="H8" s="20">
        <v>1028.9000000000001</v>
      </c>
      <c r="I8" s="21">
        <v>7.6</v>
      </c>
      <c r="J8" s="20">
        <v>78.150000000000006</v>
      </c>
      <c r="K8" s="20">
        <v>32.19</v>
      </c>
      <c r="L8" s="20">
        <f t="shared" si="0"/>
        <v>45.960000000000008</v>
      </c>
      <c r="M8" s="20">
        <v>24</v>
      </c>
      <c r="N8" s="20">
        <v>214</v>
      </c>
      <c r="O8" s="21">
        <v>787</v>
      </c>
    </row>
    <row r="9" spans="1:15" s="11" customFormat="1" ht="13.5" thickBot="1" x14ac:dyDescent="0.3">
      <c r="A9" s="53"/>
      <c r="B9" s="8" t="s">
        <v>18</v>
      </c>
      <c r="C9" s="9">
        <v>43919.083333333336</v>
      </c>
      <c r="D9" s="10">
        <v>8.3333333333333329E-2</v>
      </c>
      <c r="E9" s="37">
        <f>24*60+E8</f>
        <v>6791</v>
      </c>
      <c r="F9" s="26">
        <v>1026</v>
      </c>
      <c r="G9" s="22">
        <v>1034</v>
      </c>
      <c r="H9" s="22">
        <v>1014.9</v>
      </c>
      <c r="I9" s="23">
        <v>4.0999999999999996</v>
      </c>
      <c r="J9" s="22">
        <v>47.14</v>
      </c>
      <c r="K9" s="22">
        <v>16.43</v>
      </c>
      <c r="L9" s="22">
        <f>J9-K9</f>
        <v>30.71</v>
      </c>
      <c r="M9" s="22">
        <v>35</v>
      </c>
      <c r="N9" s="22">
        <v>215</v>
      </c>
      <c r="O9" s="23">
        <v>827</v>
      </c>
    </row>
    <row r="10" spans="1:15" ht="13.5" thickTop="1" x14ac:dyDescent="0.25"/>
  </sheetData>
  <mergeCells count="1">
    <mergeCell ref="A2:A9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FAE7-399A-4926-BCDA-0DA6EB4BD898}">
  <dimension ref="A1:O10"/>
  <sheetViews>
    <sheetView zoomScaleNormal="100" workbookViewId="0">
      <selection activeCell="G33" sqref="G33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4" width="11.5703125" style="1"/>
    <col min="5" max="5" width="11.5703125" style="38"/>
    <col min="6" max="13" width="11.5703125" style="1"/>
    <col min="14" max="14" width="13.85546875" style="1" customWidth="1"/>
    <col min="15" max="15" width="18.140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4">
        <v>1</v>
      </c>
      <c r="B2" s="2" t="s">
        <v>21</v>
      </c>
      <c r="C2" s="3"/>
      <c r="D2" s="4"/>
      <c r="E2" s="35">
        <v>0</v>
      </c>
      <c r="F2" s="24"/>
      <c r="G2" s="18"/>
      <c r="H2" s="18">
        <v>1074.8</v>
      </c>
      <c r="I2" s="19">
        <v>18.2</v>
      </c>
      <c r="J2" s="18">
        <v>157.66999999999999</v>
      </c>
      <c r="K2" s="18">
        <v>76.17</v>
      </c>
      <c r="L2" s="18">
        <f>J2-K2</f>
        <v>81.499999999999986</v>
      </c>
      <c r="M2" s="18">
        <v>27</v>
      </c>
      <c r="N2" s="18">
        <v>379</v>
      </c>
      <c r="O2" s="19">
        <v>1039</v>
      </c>
    </row>
    <row r="3" spans="1:15" s="11" customFormat="1" x14ac:dyDescent="0.25">
      <c r="A3" s="55"/>
      <c r="B3" s="5" t="s">
        <v>22</v>
      </c>
      <c r="C3" s="6"/>
      <c r="D3" s="7"/>
      <c r="E3" s="36">
        <v>0</v>
      </c>
      <c r="F3" s="25"/>
      <c r="G3" s="20"/>
      <c r="H3" s="20">
        <v>1067</v>
      </c>
      <c r="I3" s="21">
        <v>16.600000000000001</v>
      </c>
      <c r="J3" s="20">
        <v>152.44999999999999</v>
      </c>
      <c r="K3" s="20">
        <v>67.62</v>
      </c>
      <c r="L3" s="20">
        <f>J3-K3</f>
        <v>84.829999999999984</v>
      </c>
      <c r="M3" s="20">
        <v>61</v>
      </c>
      <c r="N3" s="20">
        <v>313</v>
      </c>
      <c r="O3" s="21">
        <v>913</v>
      </c>
    </row>
    <row r="4" spans="1:15" s="11" customFormat="1" x14ac:dyDescent="0.25">
      <c r="A4" s="55"/>
      <c r="B4" s="5" t="s">
        <v>23</v>
      </c>
      <c r="C4" s="6">
        <v>43913.166666666664</v>
      </c>
      <c r="D4" s="7">
        <v>0.16666666666666666</v>
      </c>
      <c r="E4" s="36">
        <v>0</v>
      </c>
      <c r="F4" s="25">
        <v>1071</v>
      </c>
      <c r="G4" s="20">
        <v>1071</v>
      </c>
      <c r="H4" s="20">
        <v>1069.9000000000001</v>
      </c>
      <c r="I4" s="21">
        <v>17.100000000000001</v>
      </c>
      <c r="J4" s="20">
        <v>155.28</v>
      </c>
      <c r="K4" s="20">
        <v>68.67</v>
      </c>
      <c r="L4" s="20">
        <f t="shared" ref="L4:L8" si="0">J4-K4</f>
        <v>86.61</v>
      </c>
      <c r="M4" s="20">
        <v>60</v>
      </c>
      <c r="N4" s="20">
        <v>312</v>
      </c>
      <c r="O4" s="21">
        <v>926</v>
      </c>
    </row>
    <row r="5" spans="1:15" s="11" customFormat="1" x14ac:dyDescent="0.25">
      <c r="A5" s="55"/>
      <c r="B5" s="5" t="s">
        <v>24</v>
      </c>
      <c r="C5" s="6">
        <v>43914.083333333336</v>
      </c>
      <c r="D5" s="7">
        <v>8.3333333333333329E-2</v>
      </c>
      <c r="E5" s="36">
        <v>0</v>
      </c>
      <c r="F5" s="25">
        <v>1058</v>
      </c>
      <c r="G5" s="20">
        <v>1073</v>
      </c>
      <c r="H5" s="20">
        <v>1060.4000000000001</v>
      </c>
      <c r="I5" s="21">
        <v>14.7</v>
      </c>
      <c r="J5" s="20">
        <v>137.35</v>
      </c>
      <c r="K5" s="20">
        <v>55.39</v>
      </c>
      <c r="L5" s="20">
        <f t="shared" si="0"/>
        <v>81.96</v>
      </c>
      <c r="M5" s="20">
        <v>65</v>
      </c>
      <c r="N5" s="20">
        <v>432</v>
      </c>
      <c r="O5" s="21">
        <v>1173</v>
      </c>
    </row>
    <row r="6" spans="1:15" s="11" customFormat="1" x14ac:dyDescent="0.25">
      <c r="A6" s="55"/>
      <c r="B6" s="5" t="s">
        <v>25</v>
      </c>
      <c r="C6" s="6">
        <v>43914.084027777775</v>
      </c>
      <c r="D6" s="7">
        <v>8.3333333333333329E-2</v>
      </c>
      <c r="E6" s="36">
        <v>0</v>
      </c>
      <c r="F6" s="25">
        <v>1058</v>
      </c>
      <c r="G6" s="20">
        <v>1073</v>
      </c>
      <c r="H6" s="20">
        <v>1050.0999999999999</v>
      </c>
      <c r="I6" s="21">
        <v>12.5</v>
      </c>
      <c r="J6" s="20">
        <v>118.38</v>
      </c>
      <c r="K6" s="20">
        <v>47.56</v>
      </c>
      <c r="L6" s="20">
        <f t="shared" si="0"/>
        <v>70.819999999999993</v>
      </c>
      <c r="M6" s="20">
        <v>63</v>
      </c>
      <c r="N6" s="20">
        <v>314</v>
      </c>
      <c r="O6" s="21">
        <v>956</v>
      </c>
    </row>
    <row r="7" spans="1:15" s="11" customFormat="1" x14ac:dyDescent="0.25">
      <c r="A7" s="55"/>
      <c r="B7" s="5" t="s">
        <v>26</v>
      </c>
      <c r="C7" s="6">
        <v>43914.375</v>
      </c>
      <c r="D7" s="7">
        <v>0.375</v>
      </c>
      <c r="E7" s="36">
        <v>0</v>
      </c>
      <c r="F7" s="25">
        <v>1056</v>
      </c>
      <c r="G7" s="20">
        <v>1066</v>
      </c>
      <c r="H7" s="20">
        <v>1049.9000000000001</v>
      </c>
      <c r="I7" s="21">
        <v>12.6</v>
      </c>
      <c r="J7" s="20">
        <v>114.02</v>
      </c>
      <c r="K7" s="20">
        <v>43.08</v>
      </c>
      <c r="L7" s="20">
        <f t="shared" si="0"/>
        <v>70.94</v>
      </c>
      <c r="M7" s="20">
        <v>29</v>
      </c>
      <c r="N7" s="20">
        <v>363</v>
      </c>
      <c r="O7" s="21">
        <v>1084</v>
      </c>
    </row>
    <row r="8" spans="1:15" s="11" customFormat="1" x14ac:dyDescent="0.25">
      <c r="A8" s="55"/>
      <c r="B8" s="5" t="s">
        <v>27</v>
      </c>
      <c r="C8" s="6">
        <v>43915.375</v>
      </c>
      <c r="D8" s="7">
        <v>0.375</v>
      </c>
      <c r="E8" s="36">
        <v>0</v>
      </c>
      <c r="F8" s="25">
        <v>1038</v>
      </c>
      <c r="G8" s="20">
        <v>1052</v>
      </c>
      <c r="H8" s="20">
        <v>1035.5999999999999</v>
      </c>
      <c r="I8" s="21">
        <v>9.1999999999999993</v>
      </c>
      <c r="J8" s="20">
        <v>88.4</v>
      </c>
      <c r="K8" s="20">
        <v>34.57</v>
      </c>
      <c r="L8" s="20">
        <f t="shared" si="0"/>
        <v>53.830000000000005</v>
      </c>
      <c r="M8" s="20">
        <v>38</v>
      </c>
      <c r="N8" s="20">
        <v>420</v>
      </c>
      <c r="O8" s="21">
        <v>1206</v>
      </c>
    </row>
    <row r="9" spans="1:15" s="11" customFormat="1" ht="13.5" thickBot="1" x14ac:dyDescent="0.3">
      <c r="A9" s="56"/>
      <c r="B9" s="8" t="s">
        <v>28</v>
      </c>
      <c r="C9" s="9">
        <v>43915.833333333336</v>
      </c>
      <c r="D9" s="10">
        <v>0.83333333333333337</v>
      </c>
      <c r="E9" s="37">
        <v>0</v>
      </c>
      <c r="F9" s="26">
        <v>1032</v>
      </c>
      <c r="G9" s="22">
        <v>1044</v>
      </c>
      <c r="H9" s="22">
        <v>1030.8</v>
      </c>
      <c r="I9" s="23">
        <v>7.7</v>
      </c>
      <c r="J9" s="22">
        <v>76.33</v>
      </c>
      <c r="K9" s="22">
        <v>21.14</v>
      </c>
      <c r="L9" s="22">
        <f>J9-K9</f>
        <v>55.19</v>
      </c>
      <c r="M9" s="22">
        <v>71</v>
      </c>
      <c r="N9" s="22">
        <v>418</v>
      </c>
      <c r="O9" s="23">
        <v>1213</v>
      </c>
    </row>
    <row r="10" spans="1:15" ht="13.5" thickTop="1" x14ac:dyDescent="0.25"/>
  </sheetData>
  <mergeCells count="1">
    <mergeCell ref="A2:A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5CAD-393C-4452-ABBC-84DD111E7658}">
  <dimension ref="A1:O10"/>
  <sheetViews>
    <sheetView zoomScaleNormal="100" workbookViewId="0">
      <selection activeCell="H41" sqref="H41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4" width="11.5703125" style="1"/>
    <col min="5" max="5" width="11.5703125" style="38"/>
    <col min="6" max="13" width="11.5703125" style="1"/>
    <col min="14" max="14" width="13.85546875" style="1" customWidth="1"/>
    <col min="15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2</v>
      </c>
      <c r="B2" s="2" t="s">
        <v>29</v>
      </c>
      <c r="C2" s="3">
        <v>43918.375</v>
      </c>
      <c r="D2" s="4">
        <v>0.375</v>
      </c>
      <c r="E2" s="35">
        <v>0</v>
      </c>
      <c r="F2" s="24">
        <v>1089</v>
      </c>
      <c r="G2" s="18">
        <v>1065</v>
      </c>
      <c r="H2" s="18">
        <v>1087.4000000000001</v>
      </c>
      <c r="I2" s="19">
        <v>21.4</v>
      </c>
      <c r="J2" s="18">
        <v>197.86</v>
      </c>
      <c r="K2" s="18">
        <v>96.21</v>
      </c>
      <c r="L2" s="18">
        <f t="shared" ref="L2:L9" si="0">J2-K2</f>
        <v>101.65000000000002</v>
      </c>
      <c r="M2" s="18">
        <v>99</v>
      </c>
      <c r="N2" s="18">
        <v>274</v>
      </c>
      <c r="O2" s="19">
        <v>962</v>
      </c>
    </row>
    <row r="3" spans="1:15" s="11" customFormat="1" x14ac:dyDescent="0.25">
      <c r="A3" s="57"/>
      <c r="B3" s="5" t="s">
        <v>30</v>
      </c>
      <c r="C3" s="6">
        <v>43918.541666666664</v>
      </c>
      <c r="D3" s="7">
        <v>0.54166666666666663</v>
      </c>
      <c r="E3" s="36">
        <f>4*60</f>
        <v>240</v>
      </c>
      <c r="F3" s="25">
        <v>1084</v>
      </c>
      <c r="G3" s="20">
        <v>1062</v>
      </c>
      <c r="H3" s="20">
        <v>1077.5999999999999</v>
      </c>
      <c r="I3" s="21">
        <v>19.2</v>
      </c>
      <c r="J3" s="20">
        <v>173.87</v>
      </c>
      <c r="K3" s="20">
        <v>83.54</v>
      </c>
      <c r="L3" s="20">
        <f t="shared" si="0"/>
        <v>90.33</v>
      </c>
      <c r="M3" s="20">
        <v>62</v>
      </c>
      <c r="N3" s="20">
        <v>248</v>
      </c>
      <c r="O3" s="21">
        <v>883</v>
      </c>
    </row>
    <row r="4" spans="1:15" s="11" customFormat="1" x14ac:dyDescent="0.25">
      <c r="A4" s="57"/>
      <c r="B4" s="5" t="s">
        <v>31</v>
      </c>
      <c r="C4" s="6">
        <v>43919.083333333336</v>
      </c>
      <c r="D4" s="7">
        <v>8.3333333333333329E-2</v>
      </c>
      <c r="E4" s="36">
        <f>(24-13)*60+2*60+E3</f>
        <v>1020</v>
      </c>
      <c r="F4" s="25">
        <v>1077</v>
      </c>
      <c r="G4" s="20">
        <v>1048</v>
      </c>
      <c r="H4" s="20">
        <v>1069.9000000000001</v>
      </c>
      <c r="I4" s="21">
        <v>17.5</v>
      </c>
      <c r="J4" s="20">
        <v>161.16999999999999</v>
      </c>
      <c r="K4" s="20">
        <v>69.069999999999993</v>
      </c>
      <c r="L4" s="20">
        <f t="shared" si="0"/>
        <v>92.1</v>
      </c>
      <c r="M4" s="20">
        <v>65</v>
      </c>
      <c r="N4" s="20">
        <v>291</v>
      </c>
      <c r="O4" s="21">
        <v>1213</v>
      </c>
    </row>
    <row r="5" spans="1:15" s="11" customFormat="1" x14ac:dyDescent="0.25">
      <c r="A5" s="57"/>
      <c r="B5" s="5" t="s">
        <v>32</v>
      </c>
      <c r="C5" s="6">
        <v>43920.458333333336</v>
      </c>
      <c r="D5" s="7">
        <v>0.45833333333333331</v>
      </c>
      <c r="E5" s="36">
        <f>(24-2)*60+11*60+E4</f>
        <v>3000</v>
      </c>
      <c r="F5" s="25">
        <v>1042</v>
      </c>
      <c r="G5" s="20">
        <v>1014</v>
      </c>
      <c r="H5" s="20">
        <v>1035.9000000000001</v>
      </c>
      <c r="I5" s="21">
        <v>9.5</v>
      </c>
      <c r="J5" s="20">
        <v>91.48</v>
      </c>
      <c r="K5" s="20">
        <v>29.7</v>
      </c>
      <c r="L5" s="20">
        <f t="shared" si="0"/>
        <v>61.78</v>
      </c>
      <c r="M5" s="20">
        <v>31</v>
      </c>
      <c r="N5" s="20">
        <v>360</v>
      </c>
      <c r="O5" s="21">
        <v>1362</v>
      </c>
    </row>
    <row r="6" spans="1:15" s="11" customFormat="1" x14ac:dyDescent="0.25">
      <c r="A6" s="57"/>
      <c r="B6" s="5" t="s">
        <v>33</v>
      </c>
      <c r="C6" s="6">
        <v>43920.459027777775</v>
      </c>
      <c r="D6" s="7">
        <v>0.45833333333333331</v>
      </c>
      <c r="E6" s="36">
        <f>E5+1</f>
        <v>3001</v>
      </c>
      <c r="F6" s="25">
        <v>1042</v>
      </c>
      <c r="G6" s="20">
        <v>1014</v>
      </c>
      <c r="H6" s="20">
        <v>1035.0999999999999</v>
      </c>
      <c r="I6" s="21">
        <v>9.3000000000000007</v>
      </c>
      <c r="J6" s="20">
        <v>92.13</v>
      </c>
      <c r="K6" s="20">
        <v>28.31</v>
      </c>
      <c r="L6" s="20">
        <f t="shared" si="0"/>
        <v>63.819999999999993</v>
      </c>
      <c r="M6" s="20">
        <v>70</v>
      </c>
      <c r="N6" s="20">
        <v>357</v>
      </c>
      <c r="O6" s="21">
        <v>1279</v>
      </c>
    </row>
    <row r="7" spans="1:15" s="11" customFormat="1" x14ac:dyDescent="0.25">
      <c r="A7" s="57"/>
      <c r="B7" s="5" t="s">
        <v>34</v>
      </c>
      <c r="C7" s="6">
        <v>43920.459722222222</v>
      </c>
      <c r="D7" s="7">
        <v>0.45833333333333331</v>
      </c>
      <c r="E7" s="36">
        <f>E6+1</f>
        <v>3002</v>
      </c>
      <c r="F7" s="25">
        <v>1042</v>
      </c>
      <c r="G7" s="20">
        <v>1014</v>
      </c>
      <c r="H7" s="20">
        <v>1034.5</v>
      </c>
      <c r="I7" s="21">
        <v>9.1</v>
      </c>
      <c r="J7" s="20">
        <v>90.73</v>
      </c>
      <c r="K7" s="20">
        <v>27.7</v>
      </c>
      <c r="L7" s="20">
        <f t="shared" si="0"/>
        <v>63.03</v>
      </c>
      <c r="M7" s="20">
        <v>65</v>
      </c>
      <c r="N7" s="20">
        <v>348</v>
      </c>
      <c r="O7" s="21">
        <v>1269</v>
      </c>
    </row>
    <row r="8" spans="1:15" s="11" customFormat="1" x14ac:dyDescent="0.25">
      <c r="A8" s="57"/>
      <c r="B8" s="5" t="s">
        <v>35</v>
      </c>
      <c r="C8" s="6">
        <v>43920.5</v>
      </c>
      <c r="D8" s="7">
        <v>0.5</v>
      </c>
      <c r="E8" s="36">
        <f>E7+60</f>
        <v>3062</v>
      </c>
      <c r="F8" s="25">
        <v>1040</v>
      </c>
      <c r="G8" s="20">
        <v>1012</v>
      </c>
      <c r="H8" s="20">
        <v>1032.4000000000001</v>
      </c>
      <c r="I8" s="21">
        <v>8.6</v>
      </c>
      <c r="J8" s="20">
        <v>87.43</v>
      </c>
      <c r="K8" s="20">
        <v>25.95</v>
      </c>
      <c r="L8" s="20">
        <f t="shared" si="0"/>
        <v>61.480000000000004</v>
      </c>
      <c r="M8" s="20">
        <v>70</v>
      </c>
      <c r="N8" s="20">
        <v>361</v>
      </c>
      <c r="O8" s="21">
        <v>1282</v>
      </c>
    </row>
    <row r="9" spans="1:15" s="11" customFormat="1" ht="13.5" thickBot="1" x14ac:dyDescent="0.3">
      <c r="A9" s="58"/>
      <c r="B9" s="8" t="s">
        <v>36</v>
      </c>
      <c r="C9" s="9">
        <v>43921.666666666664</v>
      </c>
      <c r="D9" s="10">
        <v>0.66666666666666663</v>
      </c>
      <c r="E9" s="37">
        <f>(24-13)*60+16*60+E8</f>
        <v>4682</v>
      </c>
      <c r="F9" s="26">
        <v>1020</v>
      </c>
      <c r="G9" s="22">
        <v>998</v>
      </c>
      <c r="H9" s="22">
        <v>1014.2</v>
      </c>
      <c r="I9" s="23">
        <v>4.0999999999999996</v>
      </c>
      <c r="J9" s="22">
        <v>49.08</v>
      </c>
      <c r="K9" s="22">
        <v>8.7799999999999994</v>
      </c>
      <c r="L9" s="22">
        <f t="shared" si="0"/>
        <v>40.299999999999997</v>
      </c>
      <c r="M9" s="22">
        <v>75</v>
      </c>
      <c r="N9" s="22">
        <v>340</v>
      </c>
      <c r="O9" s="23">
        <v>1270</v>
      </c>
    </row>
    <row r="10" spans="1:15" ht="13.5" thickTop="1" x14ac:dyDescent="0.25"/>
  </sheetData>
  <mergeCells count="1">
    <mergeCell ref="A2:A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7339-ACFC-4FC5-B8A5-7C52F93AE288}">
  <dimension ref="A1:O10"/>
  <sheetViews>
    <sheetView zoomScaleNormal="100" workbookViewId="0">
      <selection activeCell="C9" sqref="C9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4" width="11.5703125" style="1"/>
    <col min="5" max="5" width="11.5703125" style="38"/>
    <col min="6" max="9" width="11.5703125" style="1"/>
    <col min="10" max="10" width="14.42578125" style="1" customWidth="1"/>
    <col min="11" max="13" width="11.5703125" style="1"/>
    <col min="14" max="14" width="13.85546875" style="1" customWidth="1"/>
    <col min="15" max="15" width="16.57031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ht="13.5" thickTop="1" x14ac:dyDescent="0.25">
      <c r="A2" s="54">
        <v>3</v>
      </c>
      <c r="B2" s="2" t="s">
        <v>53</v>
      </c>
      <c r="C2" s="3">
        <v>43894.666666666664</v>
      </c>
      <c r="D2" s="4">
        <v>0.66666666666666663</v>
      </c>
      <c r="E2" s="35">
        <f>0</f>
        <v>0</v>
      </c>
      <c r="F2" s="24">
        <v>1085</v>
      </c>
      <c r="G2" s="18">
        <v>1078</v>
      </c>
      <c r="H2" s="18">
        <v>1104.8</v>
      </c>
      <c r="I2" s="19">
        <v>25.3</v>
      </c>
      <c r="J2" s="18">
        <v>234.78</v>
      </c>
      <c r="K2" s="18">
        <v>117.64</v>
      </c>
      <c r="L2" s="18">
        <f t="shared" ref="L2:L9" si="0">J2-K2</f>
        <v>117.14</v>
      </c>
      <c r="M2" s="18">
        <v>182</v>
      </c>
      <c r="N2" s="18">
        <v>170</v>
      </c>
      <c r="O2" s="19">
        <v>856</v>
      </c>
    </row>
    <row r="3" spans="1:15" x14ac:dyDescent="0.25">
      <c r="A3" s="55"/>
      <c r="B3" s="5" t="s">
        <v>54</v>
      </c>
      <c r="C3" s="6">
        <v>43926.333333333336</v>
      </c>
      <c r="D3" s="7">
        <v>0.33333333333333331</v>
      </c>
      <c r="E3" s="36">
        <f>(24-16)*60+8*60</f>
        <v>960</v>
      </c>
      <c r="F3" s="25">
        <v>1080</v>
      </c>
      <c r="G3" s="20">
        <v>1060</v>
      </c>
      <c r="H3" s="20">
        <v>1062.7</v>
      </c>
      <c r="I3" s="21">
        <v>15.9</v>
      </c>
      <c r="J3" s="20">
        <v>152.56</v>
      </c>
      <c r="K3" s="20">
        <v>62.96</v>
      </c>
      <c r="L3" s="20">
        <f t="shared" si="0"/>
        <v>89.6</v>
      </c>
      <c r="M3" s="20">
        <v>67</v>
      </c>
      <c r="N3" s="20">
        <v>270</v>
      </c>
      <c r="O3" s="21">
        <v>1159</v>
      </c>
    </row>
    <row r="4" spans="1:15" x14ac:dyDescent="0.25">
      <c r="A4" s="55"/>
      <c r="B4" s="5" t="s">
        <v>55</v>
      </c>
      <c r="C4" s="6">
        <v>43927</v>
      </c>
      <c r="D4" s="7">
        <v>0</v>
      </c>
      <c r="E4" s="36">
        <f>(24-8)*60+E3</f>
        <v>1920</v>
      </c>
      <c r="F4" s="25">
        <v>1070</v>
      </c>
      <c r="G4" s="20">
        <v>1047</v>
      </c>
      <c r="H4" s="20">
        <v>1035.8</v>
      </c>
      <c r="I4" s="21">
        <v>9.5</v>
      </c>
      <c r="J4" s="20">
        <v>100.28</v>
      </c>
      <c r="K4" s="20">
        <v>30.69</v>
      </c>
      <c r="L4" s="20">
        <f t="shared" si="0"/>
        <v>69.59</v>
      </c>
      <c r="M4" s="20">
        <v>68</v>
      </c>
      <c r="N4" s="20">
        <v>335</v>
      </c>
      <c r="O4" s="21">
        <v>1347</v>
      </c>
    </row>
    <row r="5" spans="1:15" x14ac:dyDescent="0.25">
      <c r="A5" s="55"/>
      <c r="B5" s="5" t="s">
        <v>56</v>
      </c>
      <c r="C5" s="6">
        <v>43927.333333333336</v>
      </c>
      <c r="D5" s="7">
        <v>0.33333333333333331</v>
      </c>
      <c r="E5" s="36">
        <f>8*60+E4</f>
        <v>2400</v>
      </c>
      <c r="F5" s="25">
        <v>1043</v>
      </c>
      <c r="G5" s="20">
        <v>1040</v>
      </c>
      <c r="H5" s="20">
        <v>1032.4000000000001</v>
      </c>
      <c r="I5" s="21">
        <v>8.6999999999999993</v>
      </c>
      <c r="J5" s="20">
        <v>88.45</v>
      </c>
      <c r="K5" s="20">
        <v>26.67</v>
      </c>
      <c r="L5" s="20">
        <f t="shared" si="0"/>
        <v>61.78</v>
      </c>
      <c r="M5" s="20">
        <v>74</v>
      </c>
      <c r="N5" s="20">
        <v>315</v>
      </c>
      <c r="O5" s="21">
        <v>1299</v>
      </c>
    </row>
    <row r="6" spans="1:15" x14ac:dyDescent="0.25">
      <c r="A6" s="55"/>
      <c r="B6" s="5" t="s">
        <v>57</v>
      </c>
      <c r="C6" s="6">
        <v>43927.708333333336</v>
      </c>
      <c r="D6" s="7">
        <v>0.70833333333333337</v>
      </c>
      <c r="E6" s="36">
        <f>9*60+E5</f>
        <v>2940</v>
      </c>
      <c r="F6" s="25">
        <v>1036</v>
      </c>
      <c r="G6" s="20">
        <v>1043</v>
      </c>
      <c r="H6" s="20">
        <v>1029.3</v>
      </c>
      <c r="I6" s="21">
        <v>7.9</v>
      </c>
      <c r="J6" s="20">
        <v>83.26</v>
      </c>
      <c r="K6" s="20">
        <v>24.4</v>
      </c>
      <c r="L6" s="20">
        <f t="shared" si="0"/>
        <v>58.860000000000007</v>
      </c>
      <c r="M6" s="20">
        <v>69</v>
      </c>
      <c r="N6" s="20">
        <v>284</v>
      </c>
      <c r="O6" s="21">
        <v>1182</v>
      </c>
    </row>
    <row r="7" spans="1:15" x14ac:dyDescent="0.25">
      <c r="A7" s="55"/>
      <c r="B7" s="5" t="s">
        <v>58</v>
      </c>
      <c r="C7" s="6">
        <v>43928</v>
      </c>
      <c r="D7" s="7">
        <v>0</v>
      </c>
      <c r="E7" s="36">
        <f>7*60+E6</f>
        <v>3360</v>
      </c>
      <c r="F7" s="25">
        <v>1030</v>
      </c>
      <c r="G7" s="20">
        <v>1048</v>
      </c>
      <c r="H7" s="20">
        <v>1017.6</v>
      </c>
      <c r="I7" s="21">
        <v>5</v>
      </c>
      <c r="J7" s="20">
        <v>57.79</v>
      </c>
      <c r="K7" s="20">
        <v>13.94</v>
      </c>
      <c r="L7" s="20">
        <f t="shared" si="0"/>
        <v>43.85</v>
      </c>
      <c r="M7" s="20">
        <v>42</v>
      </c>
      <c r="N7" s="20">
        <v>323</v>
      </c>
      <c r="O7" s="21">
        <v>1291</v>
      </c>
    </row>
    <row r="8" spans="1:15" x14ac:dyDescent="0.25">
      <c r="A8" s="55"/>
      <c r="B8" s="5" t="s">
        <v>59</v>
      </c>
      <c r="C8" s="6">
        <v>43928.333333333336</v>
      </c>
      <c r="D8" s="7">
        <v>0.33333333333333331</v>
      </c>
      <c r="E8" s="36">
        <f>8*60+E7</f>
        <v>3840</v>
      </c>
      <c r="F8" s="25">
        <v>1023</v>
      </c>
      <c r="G8" s="20">
        <v>1022</v>
      </c>
      <c r="H8" s="20">
        <v>1018.4</v>
      </c>
      <c r="I8" s="21">
        <v>5.2</v>
      </c>
      <c r="J8" s="20">
        <v>64.2</v>
      </c>
      <c r="K8" s="20">
        <v>14.25</v>
      </c>
      <c r="L8" s="20">
        <f t="shared" si="0"/>
        <v>49.95</v>
      </c>
      <c r="M8" s="20">
        <v>74</v>
      </c>
      <c r="N8" s="20">
        <v>328</v>
      </c>
      <c r="O8" s="21">
        <v>1313</v>
      </c>
    </row>
    <row r="9" spans="1:15" ht="13.5" thickBot="1" x14ac:dyDescent="0.3">
      <c r="A9" s="56"/>
      <c r="B9" s="8" t="s">
        <v>60</v>
      </c>
      <c r="C9" s="9">
        <v>43928.75</v>
      </c>
      <c r="D9" s="10">
        <v>0.75</v>
      </c>
      <c r="E9" s="37">
        <f>10*60+E8</f>
        <v>4440</v>
      </c>
      <c r="F9" s="26">
        <v>1024</v>
      </c>
      <c r="G9" s="22">
        <v>1019</v>
      </c>
      <c r="H9" s="22">
        <v>1016.1</v>
      </c>
      <c r="I9" s="23">
        <v>4.5999999999999996</v>
      </c>
      <c r="J9" s="22">
        <v>56.95</v>
      </c>
      <c r="K9" s="22">
        <v>11.29</v>
      </c>
      <c r="L9" s="22">
        <f t="shared" si="0"/>
        <v>45.660000000000004</v>
      </c>
      <c r="M9" s="22">
        <v>76</v>
      </c>
      <c r="N9" s="22">
        <v>345</v>
      </c>
      <c r="O9" s="23">
        <v>1337</v>
      </c>
    </row>
    <row r="10" spans="1:15" ht="13.5" thickTop="1" x14ac:dyDescent="0.25"/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CIN-29-01</vt:lpstr>
      <vt:lpstr>CIN-29-02</vt:lpstr>
      <vt:lpstr>CIN-30-01</vt:lpstr>
      <vt:lpstr>CIN-30-02</vt:lpstr>
      <vt:lpstr>CIN-53-01</vt:lpstr>
      <vt:lpstr>CIN-53-02</vt:lpstr>
      <vt:lpstr>CIN-53-03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Torrealba Vasquez</dc:creator>
  <cp:lastModifiedBy>Cristobal Torrealba</cp:lastModifiedBy>
  <dcterms:created xsi:type="dcterms:W3CDTF">2020-04-09T12:49:16Z</dcterms:created>
  <dcterms:modified xsi:type="dcterms:W3CDTF">2020-05-24T00:28:10Z</dcterms:modified>
</cp:coreProperties>
</file>