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MATLAB\Data_Sets\"/>
    </mc:Choice>
  </mc:AlternateContent>
  <xr:revisionPtr revIDLastSave="0" documentId="13_ncr:1_{B42BC831-0DF7-4DF3-BDCB-B03C9F716E8B}" xr6:coauthVersionLast="44" xr6:coauthVersionMax="44" xr10:uidLastSave="{00000000-0000-0000-0000-000000000000}"/>
  <bookViews>
    <workbookView xWindow="-15480" yWindow="1830" windowWidth="15600" windowHeight="11160" xr2:uid="{A0F71582-53A6-43D9-A744-47857768E55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L4" i="1"/>
  <c r="L5" i="1"/>
  <c r="L6" i="1"/>
  <c r="L7" i="1"/>
  <c r="L8" i="1"/>
  <c r="L9" i="1"/>
  <c r="L10" i="1"/>
  <c r="L11" i="1"/>
  <c r="L12" i="1"/>
  <c r="L13" i="1"/>
  <c r="L14" i="1"/>
  <c r="M3" i="1"/>
  <c r="L3" i="1"/>
  <c r="K4" i="1"/>
  <c r="K5" i="1"/>
  <c r="K6" i="1"/>
  <c r="K7" i="1"/>
  <c r="K8" i="1"/>
  <c r="K9" i="1"/>
  <c r="K10" i="1"/>
  <c r="K11" i="1"/>
  <c r="K12" i="1"/>
  <c r="K13" i="1"/>
  <c r="K14" i="1"/>
  <c r="K3" i="1"/>
  <c r="J4" i="1"/>
  <c r="J5" i="1"/>
  <c r="J6" i="1"/>
  <c r="J7" i="1"/>
  <c r="J8" i="1"/>
  <c r="J9" i="1"/>
  <c r="J10" i="1"/>
  <c r="J11" i="1"/>
  <c r="J12" i="1"/>
  <c r="J13" i="1"/>
  <c r="J14" i="1"/>
  <c r="J3" i="1"/>
</calcChain>
</file>

<file path=xl/sharedStrings.xml><?xml version="1.0" encoding="utf-8"?>
<sst xmlns="http://schemas.openxmlformats.org/spreadsheetml/2006/main" count="50" uniqueCount="42">
  <si>
    <t>LAB</t>
  </si>
  <si>
    <t>AUTOBIN</t>
  </si>
  <si>
    <t>LO(02)</t>
  </si>
  <si>
    <t>LO(03)</t>
  </si>
  <si>
    <t>MA(04)</t>
  </si>
  <si>
    <t>MA(05)</t>
  </si>
  <si>
    <t>LO(07)</t>
  </si>
  <si>
    <t>SR(15)</t>
  </si>
  <si>
    <t>LO(08)</t>
  </si>
  <si>
    <t>MA(09)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</si>
  <si>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</si>
  <si>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</si>
  <si>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</si>
  <si>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</si>
  <si>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</si>
  <si>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</si>
  <si>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</si>
  <si>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</si>
  <si>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</si>
  <si>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</si>
  <si>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Yeg</t>
  </si>
  <si>
    <t>Yef</t>
  </si>
  <si>
    <t>Θ</t>
  </si>
  <si>
    <t>MIN</t>
  </si>
  <si>
    <t>MAX</t>
  </si>
  <si>
    <t>DATA</t>
  </si>
  <si>
    <t>Bounds</t>
  </si>
  <si>
    <t>LAB-LO(02)</t>
  </si>
  <si>
    <t>LAB-LO(03)</t>
  </si>
  <si>
    <t>LAB-MA(04)</t>
  </si>
  <si>
    <t>LAB-MA(05)</t>
  </si>
  <si>
    <t>CII-SR(15)</t>
  </si>
  <si>
    <t>CII-LO(07)</t>
  </si>
  <si>
    <t>CII-LO(08)</t>
  </si>
  <si>
    <t>CILL-MA(09)</t>
  </si>
  <si>
    <t>MS</t>
  </si>
  <si>
    <t>FMIN</t>
  </si>
  <si>
    <t>ESS</t>
  </si>
  <si>
    <t>LAB CALIBRATION</t>
  </si>
  <si>
    <t>AUTOBIN CALIBRATION</t>
  </si>
  <si>
    <t>LAB-AUTOBIN CALIBRATION</t>
  </si>
  <si>
    <t>Adjustment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</si>
</sst>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8"/>
      <color theme="1"/>
      <name val="Calibri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36" xfId="0" applyNumberFormat="1" applyFont="1" applyBorder="1" applyAlignment="1">
      <alignment horizontal="center" vertical="center"/>
    </xf>
    <xf numFmtId="164" fontId="0" fillId="0" borderId="0" xfId="0" applyNumberFormat="1"/>
    <xf numFmtId="164" fontId="6" fillId="0" borderId="39" xfId="0" applyNumberFormat="1" applyFont="1" applyBorder="1" applyAlignment="1">
      <alignment horizontal="center" vertical="center"/>
    </xf>
    <xf numFmtId="164" fontId="6" fillId="0" borderId="40" xfId="0" applyNumberFormat="1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64" fontId="2" fillId="0" borderId="4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5828-BCF1-4768-8CCE-AE9B6AF34239}">
  <dimension ref="A1:P17"/>
  <sheetViews>
    <sheetView tabSelected="1" workbookViewId="0">
      <selection activeCell="A14" sqref="A14"/>
    </sheetView>
  </sheetViews>
  <sheetFormatPr baseColWidth="10" defaultRowHeight="15" x14ac:dyDescent="0.25"/>
  <sheetData>
    <row r="1" spans="1:16" ht="15.75" thickBot="1" x14ac:dyDescent="0.3">
      <c r="A1" s="57" t="s">
        <v>22</v>
      </c>
      <c r="B1" s="54" t="s">
        <v>0</v>
      </c>
      <c r="C1" s="55"/>
      <c r="D1" s="55"/>
      <c r="E1" s="56"/>
      <c r="F1" s="54" t="s">
        <v>1</v>
      </c>
      <c r="G1" s="55"/>
      <c r="H1" s="55"/>
      <c r="I1" s="56"/>
      <c r="J1" s="60" t="s">
        <v>25</v>
      </c>
      <c r="K1" s="61"/>
      <c r="L1" s="60" t="s">
        <v>26</v>
      </c>
      <c r="M1" s="61"/>
    </row>
    <row r="2" spans="1:16" ht="15.75" thickBot="1" x14ac:dyDescent="0.3">
      <c r="A2" s="58"/>
      <c r="B2" s="7" t="s">
        <v>2</v>
      </c>
      <c r="C2" s="8" t="s">
        <v>3</v>
      </c>
      <c r="D2" s="8" t="s">
        <v>4</v>
      </c>
      <c r="E2" s="9" t="s">
        <v>5</v>
      </c>
      <c r="F2" s="13" t="s">
        <v>7</v>
      </c>
      <c r="G2" s="8" t="s">
        <v>6</v>
      </c>
      <c r="H2" s="8" t="s">
        <v>8</v>
      </c>
      <c r="I2" s="10" t="s">
        <v>9</v>
      </c>
      <c r="J2" s="11" t="s">
        <v>23</v>
      </c>
      <c r="K2" s="12" t="s">
        <v>24</v>
      </c>
      <c r="L2" s="46" t="s">
        <v>23</v>
      </c>
      <c r="M2" s="47" t="s">
        <v>24</v>
      </c>
    </row>
    <row r="3" spans="1:16" x14ac:dyDescent="0.25">
      <c r="A3" s="4" t="s">
        <v>10</v>
      </c>
      <c r="B3" s="26">
        <v>0.117355354833686</v>
      </c>
      <c r="C3" s="27">
        <v>0.111219954149301</v>
      </c>
      <c r="D3" s="27">
        <v>9.5561034607761802E-2</v>
      </c>
      <c r="E3" s="28">
        <v>8.6861124960748104E-2</v>
      </c>
      <c r="F3" s="29">
        <v>0.192241390187845</v>
      </c>
      <c r="G3" s="27">
        <v>0.32930159007965298</v>
      </c>
      <c r="H3" s="27">
        <v>0.233652246429601</v>
      </c>
      <c r="I3" s="30">
        <v>9.2799962124435503E-2</v>
      </c>
      <c r="J3" s="26">
        <f>MIN(B3:I3)</f>
        <v>8.6861124960748104E-2</v>
      </c>
      <c r="K3" s="30">
        <f>MAX(B3:I3)</f>
        <v>0.32930159007965298</v>
      </c>
      <c r="L3" s="26">
        <f>J3*0.1</f>
        <v>8.6861124960748107E-3</v>
      </c>
      <c r="M3" s="28">
        <f>K3*10</f>
        <v>3.2930159007965298</v>
      </c>
    </row>
    <row r="4" spans="1:16" x14ac:dyDescent="0.25">
      <c r="A4" s="5" t="s">
        <v>11</v>
      </c>
      <c r="B4" s="31">
        <v>0.26181980508996799</v>
      </c>
      <c r="C4" s="32">
        <v>0.24240058643317799</v>
      </c>
      <c r="D4" s="32">
        <v>0.20469409447689499</v>
      </c>
      <c r="E4" s="33">
        <v>0.231521270936073</v>
      </c>
      <c r="F4" s="34">
        <v>0.27410959213533198</v>
      </c>
      <c r="G4" s="32">
        <v>0.179253217068336</v>
      </c>
      <c r="H4" s="32">
        <v>0.25886839718563998</v>
      </c>
      <c r="I4" s="35">
        <v>0.20873475195362801</v>
      </c>
      <c r="J4" s="36">
        <f t="shared" ref="J4:J14" si="0">MIN(B4:I4)</f>
        <v>0.179253217068336</v>
      </c>
      <c r="K4" s="44">
        <f t="shared" ref="K4:K14" si="1">MAX(B4:I4)</f>
        <v>0.27410959213533198</v>
      </c>
      <c r="L4" s="31">
        <f t="shared" ref="L4:L14" si="2">J4*0.1</f>
        <v>1.79253217068336E-2</v>
      </c>
      <c r="M4" s="33">
        <f t="shared" ref="M4:M14" si="3">K4*10</f>
        <v>2.7410959213533199</v>
      </c>
    </row>
    <row r="5" spans="1:16" x14ac:dyDescent="0.25">
      <c r="A5" s="5" t="s">
        <v>12</v>
      </c>
      <c r="B5" s="31">
        <v>0.122053718269516</v>
      </c>
      <c r="C5" s="32">
        <v>0.22122736447246599</v>
      </c>
      <c r="D5" s="32">
        <v>0.16898503430461201</v>
      </c>
      <c r="E5" s="33">
        <v>0.21713832170529701</v>
      </c>
      <c r="F5" s="34">
        <v>0.34510362427268598</v>
      </c>
      <c r="G5" s="32">
        <v>0.23289001850572</v>
      </c>
      <c r="H5" s="32">
        <v>0.25620935780381798</v>
      </c>
      <c r="I5" s="35">
        <v>0.238267110649309</v>
      </c>
      <c r="J5" s="36">
        <f t="shared" si="0"/>
        <v>0.122053718269516</v>
      </c>
      <c r="K5" s="44">
        <f t="shared" si="1"/>
        <v>0.34510362427268598</v>
      </c>
      <c r="L5" s="31">
        <f t="shared" si="2"/>
        <v>1.2205371826951601E-2</v>
      </c>
      <c r="M5" s="33">
        <f t="shared" si="3"/>
        <v>3.4510362427268597</v>
      </c>
    </row>
    <row r="6" spans="1:16" x14ac:dyDescent="0.25">
      <c r="A6" s="5" t="s">
        <v>13</v>
      </c>
      <c r="B6" s="31">
        <v>1.0392404676323099E-2</v>
      </c>
      <c r="C6" s="32">
        <v>1.08326875905475E-2</v>
      </c>
      <c r="D6" s="32">
        <v>1.2678968611610801E-2</v>
      </c>
      <c r="E6" s="33">
        <v>1.2191612055053499E-2</v>
      </c>
      <c r="F6" s="34">
        <v>6.5013303077612102E-3</v>
      </c>
      <c r="G6" s="32">
        <v>1.04621896420776E-2</v>
      </c>
      <c r="H6" s="32">
        <v>1.07613935686189E-2</v>
      </c>
      <c r="I6" s="35">
        <v>2.2566461213145698E-2</v>
      </c>
      <c r="J6" s="36">
        <f t="shared" si="0"/>
        <v>6.5013303077612102E-3</v>
      </c>
      <c r="K6" s="44">
        <f t="shared" si="1"/>
        <v>2.2566461213145698E-2</v>
      </c>
      <c r="L6" s="31">
        <f t="shared" si="2"/>
        <v>6.5013303077612102E-4</v>
      </c>
      <c r="M6" s="33">
        <f t="shared" si="3"/>
        <v>0.225664612131457</v>
      </c>
      <c r="P6" s="43"/>
    </row>
    <row r="7" spans="1:16" x14ac:dyDescent="0.25">
      <c r="A7" s="5" t="s">
        <v>14</v>
      </c>
      <c r="B7" s="31">
        <v>6.7125012434841</v>
      </c>
      <c r="C7" s="32">
        <v>7.5876749206513097</v>
      </c>
      <c r="D7" s="32">
        <v>9.56934631482995</v>
      </c>
      <c r="E7" s="33">
        <v>7.9879366447123399</v>
      </c>
      <c r="F7" s="34">
        <v>12.746484804637699</v>
      </c>
      <c r="G7" s="32">
        <v>2.6184074127257402</v>
      </c>
      <c r="H7" s="32">
        <v>7.1176240739833503</v>
      </c>
      <c r="I7" s="35">
        <v>4.5057487897304496</v>
      </c>
      <c r="J7" s="36">
        <f t="shared" si="0"/>
        <v>2.6184074127257402</v>
      </c>
      <c r="K7" s="44">
        <f t="shared" si="1"/>
        <v>12.746484804637699</v>
      </c>
      <c r="L7" s="31">
        <f t="shared" si="2"/>
        <v>0.26184074127257401</v>
      </c>
      <c r="M7" s="33">
        <f t="shared" si="3"/>
        <v>127.464848046377</v>
      </c>
      <c r="P7" s="43"/>
    </row>
    <row r="8" spans="1:16" x14ac:dyDescent="0.25">
      <c r="A8" s="5" t="s">
        <v>15</v>
      </c>
      <c r="B8" s="31">
        <v>9.3781446975663307</v>
      </c>
      <c r="C8" s="32">
        <v>9.7091893595113206</v>
      </c>
      <c r="D8" s="32">
        <v>8.3307856551997403</v>
      </c>
      <c r="E8" s="33">
        <v>7.9499467209517798</v>
      </c>
      <c r="F8" s="34">
        <v>3.1307895324458599</v>
      </c>
      <c r="G8" s="32">
        <v>12.308568071198</v>
      </c>
      <c r="H8" s="32">
        <v>7.3144511938924603</v>
      </c>
      <c r="I8" s="35">
        <v>12.2849609300977</v>
      </c>
      <c r="J8" s="36">
        <f t="shared" si="0"/>
        <v>3.1307895324458599</v>
      </c>
      <c r="K8" s="44">
        <f t="shared" si="1"/>
        <v>12.308568071198</v>
      </c>
      <c r="L8" s="31">
        <f t="shared" si="2"/>
        <v>0.31307895324458601</v>
      </c>
      <c r="M8" s="33">
        <f t="shared" si="3"/>
        <v>123.08568071197999</v>
      </c>
      <c r="P8" s="43"/>
    </row>
    <row r="9" spans="1:16" x14ac:dyDescent="0.25">
      <c r="A9" s="5" t="s">
        <v>16</v>
      </c>
      <c r="B9" s="31">
        <v>84.186701282505794</v>
      </c>
      <c r="C9" s="32">
        <v>65.249975790127493</v>
      </c>
      <c r="D9" s="32">
        <v>42.267386788890498</v>
      </c>
      <c r="E9" s="33">
        <v>46.639271637173998</v>
      </c>
      <c r="F9" s="34">
        <v>26.309471508974401</v>
      </c>
      <c r="G9" s="32">
        <v>56.772934529354998</v>
      </c>
      <c r="H9" s="32">
        <v>58.148957837639003</v>
      </c>
      <c r="I9" s="35">
        <v>85.544195203022795</v>
      </c>
      <c r="J9" s="36">
        <f t="shared" si="0"/>
        <v>26.309471508974401</v>
      </c>
      <c r="K9" s="44">
        <f t="shared" si="1"/>
        <v>85.544195203022795</v>
      </c>
      <c r="L9" s="31">
        <f t="shared" si="2"/>
        <v>2.6309471508974402</v>
      </c>
      <c r="M9" s="33">
        <f t="shared" si="3"/>
        <v>855.44195203022798</v>
      </c>
      <c r="P9" s="43"/>
    </row>
    <row r="10" spans="1:16" x14ac:dyDescent="0.25">
      <c r="A10" s="5" t="s">
        <v>17</v>
      </c>
      <c r="B10" s="31">
        <v>25.0683856944745</v>
      </c>
      <c r="C10" s="32">
        <v>41.134540092673802</v>
      </c>
      <c r="D10" s="32">
        <v>38.951573210160198</v>
      </c>
      <c r="E10" s="33">
        <v>36.7336578454319</v>
      </c>
      <c r="F10" s="34">
        <v>8.7752890245906805</v>
      </c>
      <c r="G10" s="32">
        <v>50.975987043350003</v>
      </c>
      <c r="H10" s="32">
        <v>35.154247457291802</v>
      </c>
      <c r="I10" s="35">
        <v>12.1134587571451</v>
      </c>
      <c r="J10" s="36">
        <f t="shared" si="0"/>
        <v>8.7752890245906805</v>
      </c>
      <c r="K10" s="44">
        <f t="shared" si="1"/>
        <v>50.975987043350003</v>
      </c>
      <c r="L10" s="31">
        <f t="shared" si="2"/>
        <v>0.87752890245906812</v>
      </c>
      <c r="M10" s="33">
        <f t="shared" si="3"/>
        <v>509.75987043350005</v>
      </c>
      <c r="P10" s="43"/>
    </row>
    <row r="11" spans="1:16" x14ac:dyDescent="0.25">
      <c r="A11" s="5" t="s">
        <v>18</v>
      </c>
      <c r="B11" s="31">
        <v>4.1794181939547803E-4</v>
      </c>
      <c r="C11" s="32">
        <v>3.9340666846514902E-4</v>
      </c>
      <c r="D11" s="32">
        <v>3.80031275944382E-4</v>
      </c>
      <c r="E11" s="33">
        <v>5.4737657808202097E-4</v>
      </c>
      <c r="F11" s="34">
        <v>3.5023243136943298E-4</v>
      </c>
      <c r="G11" s="32">
        <v>3.9044790121223899E-4</v>
      </c>
      <c r="H11" s="32">
        <v>4.1905250380327199E-4</v>
      </c>
      <c r="I11" s="35">
        <v>7.4823979851790299E-4</v>
      </c>
      <c r="J11" s="36">
        <f t="shared" si="0"/>
        <v>3.5023243136943298E-4</v>
      </c>
      <c r="K11" s="44">
        <f t="shared" si="1"/>
        <v>7.4823979851790299E-4</v>
      </c>
      <c r="L11" s="31">
        <f t="shared" si="2"/>
        <v>3.5023243136943298E-5</v>
      </c>
      <c r="M11" s="33">
        <f t="shared" si="3"/>
        <v>7.4823979851790304E-3</v>
      </c>
      <c r="P11" s="43"/>
    </row>
    <row r="12" spans="1:16" x14ac:dyDescent="0.25">
      <c r="A12" s="5" t="s">
        <v>19</v>
      </c>
      <c r="B12" s="31">
        <v>21.0732135630922</v>
      </c>
      <c r="C12" s="32">
        <v>24.145657539272701</v>
      </c>
      <c r="D12" s="32">
        <v>33.261146317453097</v>
      </c>
      <c r="E12" s="33">
        <v>21.229848554511999</v>
      </c>
      <c r="F12" s="34">
        <v>45.354617748281797</v>
      </c>
      <c r="G12" s="32">
        <v>10.7860104683547</v>
      </c>
      <c r="H12" s="32">
        <v>18.8214598985771</v>
      </c>
      <c r="I12" s="35">
        <v>2.53058383905574</v>
      </c>
      <c r="J12" s="36">
        <f t="shared" si="0"/>
        <v>2.53058383905574</v>
      </c>
      <c r="K12" s="44">
        <f t="shared" si="1"/>
        <v>45.354617748281797</v>
      </c>
      <c r="L12" s="31">
        <f t="shared" si="2"/>
        <v>0.253058383905574</v>
      </c>
      <c r="M12" s="33">
        <f t="shared" si="3"/>
        <v>453.54617748281794</v>
      </c>
      <c r="P12" s="43"/>
    </row>
    <row r="13" spans="1:16" x14ac:dyDescent="0.25">
      <c r="A13" s="5" t="s">
        <v>20</v>
      </c>
      <c r="B13" s="31">
        <v>0.48085913724540402</v>
      </c>
      <c r="C13" s="32">
        <v>0.41203838629678002</v>
      </c>
      <c r="D13" s="32">
        <v>0.45684505468058401</v>
      </c>
      <c r="E13" s="33">
        <v>0.45741771510675899</v>
      </c>
      <c r="F13" s="34">
        <v>0.40102001888780398</v>
      </c>
      <c r="G13" s="32">
        <v>0.39114106662274001</v>
      </c>
      <c r="H13" s="32">
        <v>0.33404749196165301</v>
      </c>
      <c r="I13" s="35">
        <v>7.2358444044632098E-2</v>
      </c>
      <c r="J13" s="36">
        <f t="shared" si="0"/>
        <v>7.2358444044632098E-2</v>
      </c>
      <c r="K13" s="44">
        <f t="shared" si="1"/>
        <v>0.48085913724540402</v>
      </c>
      <c r="L13" s="31">
        <f t="shared" si="2"/>
        <v>7.2358444044632103E-3</v>
      </c>
      <c r="M13" s="33">
        <f t="shared" si="3"/>
        <v>4.8085913724540399</v>
      </c>
      <c r="P13" s="43"/>
    </row>
    <row r="14" spans="1:16" ht="15.75" thickBot="1" x14ac:dyDescent="0.3">
      <c r="A14" s="6" t="s">
        <v>21</v>
      </c>
      <c r="B14" s="37">
        <v>0.63592356251703896</v>
      </c>
      <c r="C14" s="38">
        <v>0.48511465160463701</v>
      </c>
      <c r="D14" s="38">
        <v>0.63966846589458204</v>
      </c>
      <c r="E14" s="39">
        <v>0.55338041551835704</v>
      </c>
      <c r="F14" s="40">
        <v>0.61366391999577596</v>
      </c>
      <c r="G14" s="38">
        <v>0.40480447511229101</v>
      </c>
      <c r="H14" s="38">
        <v>0.41155482249440201</v>
      </c>
      <c r="I14" s="41">
        <v>0.263667802465471</v>
      </c>
      <c r="J14" s="42">
        <f t="shared" si="0"/>
        <v>0.263667802465471</v>
      </c>
      <c r="K14" s="45">
        <f t="shared" si="1"/>
        <v>0.63966846589458204</v>
      </c>
      <c r="L14" s="37">
        <f t="shared" si="2"/>
        <v>2.6366780246547102E-2</v>
      </c>
      <c r="M14" s="39">
        <f t="shared" si="3"/>
        <v>6.3966846589458202</v>
      </c>
      <c r="P14" s="43"/>
    </row>
    <row r="15" spans="1:16" x14ac:dyDescent="0.25">
      <c r="A15" s="59"/>
      <c r="B15" s="59"/>
      <c r="C15" s="59"/>
      <c r="D15" s="59"/>
      <c r="E15" s="59"/>
      <c r="F15" s="59"/>
      <c r="G15" s="59"/>
      <c r="H15" s="59"/>
      <c r="I15" s="59"/>
      <c r="P15" s="43"/>
    </row>
    <row r="16" spans="1:16" x14ac:dyDescent="0.25">
      <c r="P16" s="43"/>
    </row>
    <row r="17" spans="16:16" x14ac:dyDescent="0.25">
      <c r="P17" s="43"/>
    </row>
  </sheetData>
  <mergeCells count="6">
    <mergeCell ref="L1:M1"/>
    <mergeCell ref="B1:E1"/>
    <mergeCell ref="F1:I1"/>
    <mergeCell ref="A1:A2"/>
    <mergeCell ref="A15:I15"/>
    <mergeCell ref="J1:K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2D33-8B95-40D5-9641-D8D58198B62D}">
  <dimension ref="A1:J10"/>
  <sheetViews>
    <sheetView workbookViewId="0">
      <selection sqref="A1:A2"/>
    </sheetView>
  </sheetViews>
  <sheetFormatPr baseColWidth="10" defaultRowHeight="15" x14ac:dyDescent="0.25"/>
  <cols>
    <col min="1" max="1" width="16" customWidth="1"/>
  </cols>
  <sheetData>
    <row r="1" spans="1:10" ht="15.75" thickBot="1" x14ac:dyDescent="0.3">
      <c r="A1" s="65" t="s">
        <v>41</v>
      </c>
      <c r="B1" s="62" t="s">
        <v>38</v>
      </c>
      <c r="C1" s="62"/>
      <c r="D1" s="63"/>
      <c r="E1" s="64" t="s">
        <v>39</v>
      </c>
      <c r="F1" s="62"/>
      <c r="G1" s="63"/>
      <c r="H1" s="64" t="s">
        <v>40</v>
      </c>
      <c r="I1" s="62"/>
      <c r="J1" s="63"/>
    </row>
    <row r="2" spans="1:10" ht="15.75" thickBot="1" x14ac:dyDescent="0.3">
      <c r="A2" s="66"/>
      <c r="B2" s="1" t="s">
        <v>35</v>
      </c>
      <c r="C2" s="2" t="s">
        <v>36</v>
      </c>
      <c r="D2" s="3" t="s">
        <v>37</v>
      </c>
      <c r="E2" s="48" t="s">
        <v>35</v>
      </c>
      <c r="F2" s="2" t="s">
        <v>36</v>
      </c>
      <c r="G2" s="3" t="s">
        <v>37</v>
      </c>
      <c r="H2" s="48" t="s">
        <v>35</v>
      </c>
      <c r="I2" s="2" t="s">
        <v>36</v>
      </c>
      <c r="J2" s="3" t="s">
        <v>37</v>
      </c>
    </row>
    <row r="3" spans="1:10" x14ac:dyDescent="0.25">
      <c r="A3" s="50" t="s">
        <v>27</v>
      </c>
      <c r="B3" s="14">
        <v>0.225784471433356</v>
      </c>
      <c r="C3" s="15">
        <v>0.11123178280571699</v>
      </c>
      <c r="D3" s="16">
        <v>9.9437213202580199E-2</v>
      </c>
      <c r="E3" s="14">
        <v>0.43894551038898699</v>
      </c>
      <c r="F3" s="15">
        <v>0.11123178280571699</v>
      </c>
      <c r="G3" s="16">
        <v>0.33411449453084502</v>
      </c>
      <c r="H3" s="53">
        <v>0.11672408632595201</v>
      </c>
      <c r="I3" s="49">
        <v>0.11123178280571699</v>
      </c>
      <c r="J3" s="25">
        <v>0.15350300233474801</v>
      </c>
    </row>
    <row r="4" spans="1:10" x14ac:dyDescent="0.25">
      <c r="A4" s="51" t="s">
        <v>28</v>
      </c>
      <c r="B4" s="17">
        <v>0.333533188699417</v>
      </c>
      <c r="C4" s="18">
        <v>0.38375615792939399</v>
      </c>
      <c r="D4" s="19">
        <v>0.40943382450913102</v>
      </c>
      <c r="E4" s="17">
        <v>9.9487594931729706E-2</v>
      </c>
      <c r="F4" s="18">
        <v>0.38375615792939399</v>
      </c>
      <c r="G4" s="19">
        <v>0.22217629844998199</v>
      </c>
      <c r="H4" s="20">
        <v>0.70596241347435595</v>
      </c>
      <c r="I4" s="18">
        <v>0.38375615792939399</v>
      </c>
      <c r="J4" s="19">
        <v>0.66365919875540202</v>
      </c>
    </row>
    <row r="5" spans="1:10" x14ac:dyDescent="0.25">
      <c r="A5" s="51" t="s">
        <v>29</v>
      </c>
      <c r="B5" s="17">
        <v>0.16212617348097899</v>
      </c>
      <c r="C5" s="18">
        <v>6.86577700046586E-2</v>
      </c>
      <c r="D5" s="19">
        <v>3.4034155493059701E-2</v>
      </c>
      <c r="E5" s="17">
        <v>0.66704728245113898</v>
      </c>
      <c r="F5" s="18">
        <v>6.86577700046586E-2</v>
      </c>
      <c r="G5" s="19">
        <v>0.63449405673852899</v>
      </c>
      <c r="H5" s="20">
        <v>0.43094746722570698</v>
      </c>
      <c r="I5" s="18">
        <v>6.86577700046586E-2</v>
      </c>
      <c r="J5" s="19">
        <v>0.44837456760677402</v>
      </c>
    </row>
    <row r="6" spans="1:10" x14ac:dyDescent="0.25">
      <c r="A6" s="51" t="s">
        <v>30</v>
      </c>
      <c r="B6" s="17">
        <v>0.22942097002136999</v>
      </c>
      <c r="C6" s="18">
        <v>0.149962179030589</v>
      </c>
      <c r="D6" s="19">
        <v>0.10764066037732301</v>
      </c>
      <c r="E6" s="17">
        <v>0.84661968199914694</v>
      </c>
      <c r="F6" s="18">
        <v>0.149962179030589</v>
      </c>
      <c r="G6" s="19">
        <v>0.75851370889252501</v>
      </c>
      <c r="H6" s="20">
        <v>0.46217715494407202</v>
      </c>
      <c r="I6" s="18">
        <v>0.149962179030589</v>
      </c>
      <c r="J6" s="19">
        <v>0.54612841568991599</v>
      </c>
    </row>
    <row r="7" spans="1:10" x14ac:dyDescent="0.25">
      <c r="A7" s="51" t="s">
        <v>31</v>
      </c>
      <c r="B7" s="17">
        <v>0.435225582706322</v>
      </c>
      <c r="C7" s="18">
        <v>0.48753514681458898</v>
      </c>
      <c r="D7" s="19">
        <v>0.50011349327841603</v>
      </c>
      <c r="E7" s="17">
        <v>7.42778962433812E-2</v>
      </c>
      <c r="F7" s="18">
        <v>0.48753514681458898</v>
      </c>
      <c r="G7" s="19">
        <v>9.4752666049247702E-2</v>
      </c>
      <c r="H7" s="20">
        <v>0.27925146015619401</v>
      </c>
      <c r="I7" s="18">
        <v>0.48753514681458898</v>
      </c>
      <c r="J7" s="19">
        <v>0.22167249622604199</v>
      </c>
    </row>
    <row r="8" spans="1:10" x14ac:dyDescent="0.25">
      <c r="A8" s="51" t="s">
        <v>32</v>
      </c>
      <c r="B8" s="17">
        <v>0.40968112263693501</v>
      </c>
      <c r="C8" s="18">
        <v>0.31163393544349899</v>
      </c>
      <c r="D8" s="19">
        <v>0.33224728157050099</v>
      </c>
      <c r="E8" s="17">
        <v>0.308888415086567</v>
      </c>
      <c r="F8" s="18">
        <v>0.31163393544349899</v>
      </c>
      <c r="G8" s="19">
        <v>0.266340881249295</v>
      </c>
      <c r="H8" s="20">
        <v>0.11542819470424</v>
      </c>
      <c r="I8" s="18">
        <v>0.31163393544349899</v>
      </c>
      <c r="J8" s="19">
        <v>0.155838597810527</v>
      </c>
    </row>
    <row r="9" spans="1:10" x14ac:dyDescent="0.25">
      <c r="A9" s="51" t="s">
        <v>33</v>
      </c>
      <c r="B9" s="17">
        <v>0.91668202693533596</v>
      </c>
      <c r="C9" s="18">
        <v>0.88291282515853298</v>
      </c>
      <c r="D9" s="19">
        <v>0.91308090342074499</v>
      </c>
      <c r="E9" s="17">
        <v>0.17154810553653599</v>
      </c>
      <c r="F9" s="18">
        <v>0.88291282515853298</v>
      </c>
      <c r="G9" s="19">
        <v>0.205323325768796</v>
      </c>
      <c r="H9" s="20">
        <v>0.40322572813665902</v>
      </c>
      <c r="I9" s="18">
        <v>0.88291282515853298</v>
      </c>
      <c r="J9" s="19">
        <v>0.32777281835684002</v>
      </c>
    </row>
    <row r="10" spans="1:10" ht="15.75" thickBot="1" x14ac:dyDescent="0.3">
      <c r="A10" s="52" t="s">
        <v>34</v>
      </c>
      <c r="B10" s="21">
        <v>0.64854929631148905</v>
      </c>
      <c r="C10" s="22">
        <v>0.51498293021373698</v>
      </c>
      <c r="D10" s="23">
        <v>0.54101419229157199</v>
      </c>
      <c r="E10" s="21">
        <v>9.7941549690875596E-2</v>
      </c>
      <c r="F10" s="22">
        <v>0.51498293021373698</v>
      </c>
      <c r="G10" s="23">
        <v>3.4935931267617799E-2</v>
      </c>
      <c r="H10" s="24">
        <v>3.5140514806259002E-2</v>
      </c>
      <c r="I10" s="22">
        <v>0.51498293021373698</v>
      </c>
      <c r="J10" s="23">
        <v>8.5293310648112304E-3</v>
      </c>
    </row>
  </sheetData>
  <mergeCells count="4">
    <mergeCell ref="B1:D1"/>
    <mergeCell ref="E1:G1"/>
    <mergeCell ref="H1:J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Torrealba</dc:creator>
  <cp:lastModifiedBy>Cristobal Torrealba</cp:lastModifiedBy>
  <dcterms:created xsi:type="dcterms:W3CDTF">2020-05-19T17:31:32Z</dcterms:created>
  <dcterms:modified xsi:type="dcterms:W3CDTF">2020-05-29T15:39:26Z</dcterms:modified>
</cp:coreProperties>
</file>